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Mateus\Desktop\Inventario\"/>
    </mc:Choice>
  </mc:AlternateContent>
  <xr:revisionPtr revIDLastSave="0" documentId="13_ncr:1_{BE27F668-087C-4754-B30F-BFACF42540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UESTOS HA" sheetId="15" r:id="rId1"/>
  </sheets>
  <definedNames>
    <definedName name="_xlnm._FilterDatabase" localSheetId="0" hidden="1">'REPUESTOS HA'!$F$2:$G$445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5" l="1"/>
  <c r="F22" i="15"/>
  <c r="F26" i="15"/>
  <c r="F38" i="15"/>
  <c r="F32" i="15"/>
  <c r="F16" i="15"/>
  <c r="F37" i="15"/>
  <c r="F27" i="15"/>
  <c r="F31" i="15"/>
  <c r="F24" i="15"/>
  <c r="F36" i="15"/>
  <c r="F15" i="15"/>
  <c r="F20" i="15"/>
  <c r="F33" i="15"/>
  <c r="F43" i="15"/>
  <c r="F45" i="15"/>
  <c r="F47" i="15"/>
  <c r="F44" i="15"/>
  <c r="F29" i="15"/>
  <c r="F30" i="15"/>
  <c r="F13" i="15"/>
  <c r="F17" i="15"/>
  <c r="F19" i="15"/>
  <c r="F18" i="15"/>
  <c r="F34" i="15"/>
  <c r="F35" i="15"/>
  <c r="F21" i="15"/>
  <c r="F28" i="15"/>
  <c r="F46" i="15"/>
  <c r="F25" i="15"/>
  <c r="F39" i="15"/>
  <c r="F41" i="15"/>
  <c r="F42" i="15"/>
  <c r="F23" i="15"/>
  <c r="F40" i="15"/>
  <c r="F4" i="15" l="1"/>
  <c r="F5" i="15"/>
  <c r="F6" i="15"/>
  <c r="F7" i="15"/>
  <c r="F8" i="15"/>
  <c r="F9" i="15"/>
  <c r="F10" i="15"/>
  <c r="F11" i="15"/>
  <c r="F12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3" i="15"/>
</calcChain>
</file>

<file path=xl/sharedStrings.xml><?xml version="1.0" encoding="utf-8"?>
<sst xmlns="http://schemas.openxmlformats.org/spreadsheetml/2006/main" count="1406" uniqueCount="912">
  <si>
    <t>PRECIO</t>
  </si>
  <si>
    <t>MINI BOMBA COMPACT PRO</t>
  </si>
  <si>
    <t>MINI BOMBA COMPACT TELESCOPICA PRO</t>
  </si>
  <si>
    <t>BICICLETA INFANTIL NIÑA 16P PILOT (78983)</t>
  </si>
  <si>
    <t>BICICLETA INFANTIL NIÑA 20P PILOT (78988)</t>
  </si>
  <si>
    <t>BICICLETA INFANTIL NIÑO 20P PILOT (78985)</t>
  </si>
  <si>
    <t>BICICLETA INFANTIL NIÑO 16 MOTO TXT 650 GW (78903)</t>
  </si>
  <si>
    <t xml:space="preserve">BICICLETA DE IMPULSO PUSH BIKE EXTREME ALUMINIO GW </t>
  </si>
  <si>
    <t>BICICLETA INFANTIL NIÑO 20P MOTO TXT 650 GW (78907, 78904)</t>
  </si>
  <si>
    <t>BICICLETA INFANTIL NIÑO 12P LIGHTNING GW (78858,78859)</t>
  </si>
  <si>
    <t>BICICLETA INFANTIL NIÑO 16 LIGHTNING GW (78864)</t>
  </si>
  <si>
    <t>BICICLETA INFANTIL NIÑA 20P LIGHTNING GW (778873)</t>
  </si>
  <si>
    <t>BICICLETA INFANTIL NIÑO 20P LIGHTNING GW (78872)</t>
  </si>
  <si>
    <t>BICICLETA INFANTIL NIÑA 12 FAIRY GW (78925,78824)</t>
  </si>
  <si>
    <t>BICICLETA INFANTIL NIÑA 16 FAIRY GW (78929,78930,</t>
  </si>
  <si>
    <t>BICICLETA INFANTIL NIÑO 16 SUPER HERO  (78879)</t>
  </si>
  <si>
    <t>BICICLETA MTB 26P TRAVEL 3*6 GW (75827,75824)</t>
  </si>
  <si>
    <t>BICICLETA MTB 29 MONKEY (77515,77520,77505)</t>
  </si>
  <si>
    <t>BICILCETA MTB 29P 7V GW TITAN ACERO (78283,78294)</t>
  </si>
  <si>
    <t>SILLIN BMX 160MM 20P LANCER COLORES GW</t>
  </si>
  <si>
    <t>BICICLETA INFANTIL NIÑA 12P (79003,79004,79007) candy</t>
  </si>
  <si>
    <t>BICICLETA INFANTIL NIÑO 12P VORTEX GW COLOR AZUL BOREAL BR-NEGRO BR TALLA 12</t>
  </si>
  <si>
    <t>BICICLETA INFANTIL NIÑO 12P SUPER HERO GW COLOR VERDE PERA BR-AZUL REY BR TALLA 12</t>
  </si>
  <si>
    <t>BICICLETA INFANTIL NIÑA 12P CANDY GW COLOR BLANCO PERLADO BR - PURPURA BR TALLA 12</t>
  </si>
  <si>
    <t>BICICLETA INFANTIL NIÑA 12P PRINCESS STORY GW COLOR ROSADO CANDY BR - MAGENTA BR TALLA 12</t>
  </si>
  <si>
    <t>BICICLETA INFANTIL NIÑA 12P PRINCESS STORY GW COLOR MORADO LAVANDA BR - MENTA BR TALLA 12</t>
  </si>
  <si>
    <t>BICICLETA INFANTIL NIÑO 16P APEX GW COLOR ROJO FIRE BR-NEGRO BR TALLA 16</t>
  </si>
  <si>
    <t>BICICLETA INFANTIL NIÑO 16P EXTREME GW COLOR VERDE PERLADO BR - VERDE FOREST BR TALLA 16</t>
  </si>
  <si>
    <t>BICICLETA INFANTIL NIÑA 16P CANDY GW COLOR BLANCO PERLADO BR - PURPURA BR TALLA 16</t>
  </si>
  <si>
    <t>BICICLETA INFANTIL NIÑO 12P SUPER HERO GW COLOR AZUL DARK BR-VERDE MANZANA BR TALLA 12</t>
  </si>
  <si>
    <t>BICICLETA MTB 29P MONKEY ALUMINIO GW COLOR NEGRO BR-GRIS PLATA BR TALLA 13</t>
  </si>
  <si>
    <t>BICICLETA INFANTIL NIÑA 20P MYSTIC GWCOLOR ROSADO BR-MORADO AMATISTA BR TALLA 20</t>
  </si>
  <si>
    <t xml:space="preserve">BICICLETA MTB 20P 3X7VEL ATLAS ACERO GW COLOR MORADO CARMIN BR-BLANCO BR TALLA 10
</t>
  </si>
  <si>
    <t>BICICLETA INFANTIL NIÑA 20P CANDY GWCOLOR ROSADO CANDY BR - MORADO UVA BR TALLA 20</t>
  </si>
  <si>
    <t xml:space="preserve">BICICLETA MTB 24P 3X7VEL ATLAS ACERO GWCOLOR AZUL DENIM BR-BLANCO BR TALLA 12.5
</t>
  </si>
  <si>
    <t>BICICLETA MTB 24P 3X7VEL ATLAS ACERO GW COLOR NEGRO BR-BLANCO BR TALLA 12.5</t>
  </si>
  <si>
    <t>BICICLETA MTB 20P 3X7VEL ATLAS ACERO GWCOLOR VIOLETA METALICO BR-BLANCO BR TALLA 10</t>
  </si>
  <si>
    <t>31421-706112</t>
  </si>
  <si>
    <t>ACEITE 20WT 32 OZ GOLD FOX</t>
  </si>
  <si>
    <t>36455-706117</t>
  </si>
  <si>
    <t>ACEITE 5WT RACING 1 LT FOX</t>
  </si>
  <si>
    <t>69293-706122</t>
  </si>
  <si>
    <t>ACEITE FOX 4 WT X LITRO</t>
  </si>
  <si>
    <t>2827-802208</t>
  </si>
  <si>
    <t>ADAPTADOR DE BOMBA PARA BALON ACERO CP</t>
  </si>
  <si>
    <t>28688-502700</t>
  </si>
  <si>
    <t>ADAPTADOR DE FRENO POSTMOUNT DELANTERO F</t>
  </si>
  <si>
    <t>28689-502700</t>
  </si>
  <si>
    <t>2407-101109</t>
  </si>
  <si>
    <t>BALIN TAIWAN TRASERO/CENTRO 1/4</t>
  </si>
  <si>
    <t>4828-102516</t>
  </si>
  <si>
    <t>BALINERA 6000-ZZ EVERESTT</t>
  </si>
  <si>
    <t>5796-102521</t>
  </si>
  <si>
    <t>BALINERA 6200-ZZ EVERESTT</t>
  </si>
  <si>
    <t>2856-305107</t>
  </si>
  <si>
    <t>BIELA ENTERIZA AMERICANA 170MM CW-10 ACE</t>
  </si>
  <si>
    <t>21978-305161</t>
  </si>
  <si>
    <t>BIELA IZQUIERDA CUADRANTE 170MM CW0303 A</t>
  </si>
  <si>
    <t>8672-305205</t>
  </si>
  <si>
    <t>BIELA IZQUIERDA CUADRANTE 170MM FL-303 A</t>
  </si>
  <si>
    <t>58726-819184</t>
  </si>
  <si>
    <t>BOLSO PORTAHERRAMIENTAS CROSSOVER GW</t>
  </si>
  <si>
    <t>56539-819183</t>
  </si>
  <si>
    <t>BOLSO PORTAHERRAMIENTAS PLAYGROUND GW</t>
  </si>
  <si>
    <t>56068-819185</t>
  </si>
  <si>
    <t>BOLSO PORTAHERRAMIENTAS STICKY GW</t>
  </si>
  <si>
    <t>44481-801141</t>
  </si>
  <si>
    <t>BOMBA DE PISO A/V-F/V-D/V THP-9918A ALUM</t>
  </si>
  <si>
    <t>20850-801136</t>
  </si>
  <si>
    <t>BOMBA DE PISO CON MANOMETRO A/V-F/V-D/V</t>
  </si>
  <si>
    <t>2878-801119</t>
  </si>
  <si>
    <t>BOMBA DE PISO CORTA A/V-F/V-D/V 320Q ALU</t>
  </si>
  <si>
    <t>2876-801117</t>
  </si>
  <si>
    <t>BOMBA DE PISO LARGA A/V-F/V-D/V 590A ALU</t>
  </si>
  <si>
    <t>8873-807419</t>
  </si>
  <si>
    <t>BOTELLA 600ML L-001L GW/SHIMANO PLASTICO</t>
  </si>
  <si>
    <t>81937-807541</t>
  </si>
  <si>
    <t>BOTELLA KEBEA 3 550ML ELITE</t>
  </si>
  <si>
    <t>81936-807541</t>
  </si>
  <si>
    <t>81955-807541</t>
  </si>
  <si>
    <t>81956-807541</t>
  </si>
  <si>
    <t>81958-807541</t>
  </si>
  <si>
    <t>81959-807541</t>
  </si>
  <si>
    <t>71546-807523</t>
  </si>
  <si>
    <t>BOTELLA PORTA HERRAMIENTAS BYASI 400ML</t>
  </si>
  <si>
    <t>7042-201207</t>
  </si>
  <si>
    <t>CABLE CAMBIOS 1.2X2100 CAJAX10 SHIMANO</t>
  </si>
  <si>
    <t>46648-202423</t>
  </si>
  <si>
    <t>CABLE DE CAMBIO 1.2X2100MM ACERO</t>
  </si>
  <si>
    <t>28639-201119</t>
  </si>
  <si>
    <t>CABLE DE CAMBIO 1.2X2100MM DI-S-SG-01 AC</t>
  </si>
  <si>
    <t>72164-201129</t>
  </si>
  <si>
    <t>CABLE DE FRENO 1.5X2100MM 7X7 ACERO</t>
  </si>
  <si>
    <t>28641-201124</t>
  </si>
  <si>
    <t>CABLE DE FRENO RUTA 1.6X1700MM BI-S-GA-1</t>
  </si>
  <si>
    <t>37727-804122</t>
  </si>
  <si>
    <t>CABLE DE SEGURIDAD 10X200MM TY422 ACERO</t>
  </si>
  <si>
    <t>30869-301134</t>
  </si>
  <si>
    <t>CADENA 1 VEL 1/2X1/8 112L S1 PIN MARRON</t>
  </si>
  <si>
    <t>8204-301121</t>
  </si>
  <si>
    <t>CADENA 1 VEL 1/2X1/8 114L M410 MARRON MA</t>
  </si>
  <si>
    <t>2941-301222</t>
  </si>
  <si>
    <t>CADENA 10 VEL 1/2X11/128 114L X10 NEGRA/</t>
  </si>
  <si>
    <t>42336-301137</t>
  </si>
  <si>
    <t>CADENA 10 VEL 1/2X11/128 118L SX10 GRIS</t>
  </si>
  <si>
    <t>69808-301286</t>
  </si>
  <si>
    <t>CADENA 11 VEL 1/2X11/128 114L X11 NEGRA/</t>
  </si>
  <si>
    <t>68516-301158</t>
  </si>
  <si>
    <t>CADENA 12 VEL 1/2X11/128 126L SX12 DORAD</t>
  </si>
  <si>
    <t>69812-301290</t>
  </si>
  <si>
    <t>CADENA 12 VEL 1/2X11/128 126L X12 NEGRA/</t>
  </si>
  <si>
    <t>69813-301291</t>
  </si>
  <si>
    <t>CADENA 12 VEL 1/2X11/128 126L X12 PLATA</t>
  </si>
  <si>
    <t>2938-301219</t>
  </si>
  <si>
    <t>8203-301124</t>
  </si>
  <si>
    <t>CADENA 6/7 VEL 1/2X3/32 M30 MARRON MAYA</t>
  </si>
  <si>
    <t>42334-301135</t>
  </si>
  <si>
    <t>CADENA 8 VEL 1/2X3/32 116L S51 GRIS GW</t>
  </si>
  <si>
    <t>67158-301115</t>
  </si>
  <si>
    <t>CADENA 8 VEL 1/2X3/32 116L Z8.1/8.3 GRIS</t>
  </si>
  <si>
    <t>2940-301221</t>
  </si>
  <si>
    <t>CADENA 9 VEL 1/2X11/128 128L Z9 GRIS KMC</t>
  </si>
  <si>
    <t>61243-301284</t>
  </si>
  <si>
    <t>CADENA CN-HG601-11 11VEL 126L SHIMANO</t>
  </si>
  <si>
    <t>2942-301223</t>
  </si>
  <si>
    <t>CADENA CN-HG93 9VEL 116L SHIMANO</t>
  </si>
  <si>
    <t>59073-301283</t>
  </si>
  <si>
    <t>CADENA CN-M6100 12VEL 126L SHIMANO</t>
  </si>
  <si>
    <t>2990-804131</t>
  </si>
  <si>
    <t>CANDADO DE CABLE ESPIRAL DE CLAVE 10X150</t>
  </si>
  <si>
    <t>17922-804133</t>
  </si>
  <si>
    <t>CANDADO DE CABLE ESPIRAL DE CLAVE 10X650</t>
  </si>
  <si>
    <t>2974-804100</t>
  </si>
  <si>
    <t>CANDADO DE CABLE ESPIRAL DE LLAVE 6X1500</t>
  </si>
  <si>
    <t>2973-804100</t>
  </si>
  <si>
    <t>58553-807495</t>
  </si>
  <si>
    <t>CARAMA OLA JET 550ML ELITE</t>
  </si>
  <si>
    <t>26654-606569</t>
  </si>
  <si>
    <t>CARTUCHO DE SUSPENSION LO XCM DS LO 27.5</t>
  </si>
  <si>
    <t>34238-606579</t>
  </si>
  <si>
    <t>CARTUCHO DE SUSPENSION XCR RL-R 29 SUNT</t>
  </si>
  <si>
    <t>30616-814469</t>
  </si>
  <si>
    <t>CASCO MTB ENDURO GW-015 GW</t>
  </si>
  <si>
    <t>30620-814469</t>
  </si>
  <si>
    <t>63593-814489</t>
  </si>
  <si>
    <t>CASCO MTB M1 GW</t>
  </si>
  <si>
    <t>63604-814489</t>
  </si>
  <si>
    <t>63623-814492</t>
  </si>
  <si>
    <t>CASCO MTB M4 SOLID GW</t>
  </si>
  <si>
    <t>63624-814492</t>
  </si>
  <si>
    <t>63633-814494</t>
  </si>
  <si>
    <t>CASCO MTB SECURITY LIGHT M6 GW</t>
  </si>
  <si>
    <t>63637-814494</t>
  </si>
  <si>
    <t>63614-814491</t>
  </si>
  <si>
    <t>CASCO MTB/RUTA M3 GW</t>
  </si>
  <si>
    <t>63616-814491</t>
  </si>
  <si>
    <t>44249-304526</t>
  </si>
  <si>
    <t>CASSETTE MTB 10VEL 11-42T HR10-42 GW</t>
  </si>
  <si>
    <t>44242-304527</t>
  </si>
  <si>
    <t>CASSETTE MTB 10VEL 11-46T HR10-46 GW</t>
  </si>
  <si>
    <t>43935-304518</t>
  </si>
  <si>
    <t>CASSETTE MTB 8VEL 11-40T HR8-40 GW</t>
  </si>
  <si>
    <t>43928-304520</t>
  </si>
  <si>
    <t>CASSETTE MTB 9VEL 11-36T HR9-36 GW</t>
  </si>
  <si>
    <t>44247-304521</t>
  </si>
  <si>
    <t>CASSETTE MTB 9VEL 11-40T HR9-40 GW</t>
  </si>
  <si>
    <t>44241-304523</t>
  </si>
  <si>
    <t>CASSETTE MTB 9VEL 11-46T HR9-46 GW</t>
  </si>
  <si>
    <t>43932-304246</t>
  </si>
  <si>
    <t>CASSETTE RUTA 10VEL 11/32T HR10-32 GW</t>
  </si>
  <si>
    <t>43933-304248</t>
  </si>
  <si>
    <t>CASSETTE RUTA 11VEL HR11-32 11/32T GW</t>
  </si>
  <si>
    <t>43930-304244</t>
  </si>
  <si>
    <t>CASSETTE RUTA 9VEL 11/28T HR9-28 GW</t>
  </si>
  <si>
    <t>3961-402227</t>
  </si>
  <si>
    <t>CIERRE RAPIDO DE CUBO DELANTERO 5X128MM</t>
  </si>
  <si>
    <t>3960-402226</t>
  </si>
  <si>
    <t>CIERRE RAPIDO DE CUBO TRASERO 5X170MM R-</t>
  </si>
  <si>
    <t>3967-602210</t>
  </si>
  <si>
    <t>CIERRE RAPIDO DE TIJA M6X50MM ALUMINIO C</t>
  </si>
  <si>
    <t>3966-602210</t>
  </si>
  <si>
    <t>3965-602210</t>
  </si>
  <si>
    <t>3968-602210</t>
  </si>
  <si>
    <t>3056-804205</t>
  </si>
  <si>
    <t>CINTAS DE MANUBRIO CORCHO COLORES</t>
  </si>
  <si>
    <t>7809-804205</t>
  </si>
  <si>
    <t>7808-804205</t>
  </si>
  <si>
    <t>3065-804211</t>
  </si>
  <si>
    <t>CINTAS MANUBRIO TIPO CARBON</t>
  </si>
  <si>
    <t>80548-410420</t>
  </si>
  <si>
    <t>COBERTOR DE RADIO 300MMX4.5MMX1/2 72PCS</t>
  </si>
  <si>
    <t>80546-410420</t>
  </si>
  <si>
    <t>80550-410420</t>
  </si>
  <si>
    <t>80547-410420</t>
  </si>
  <si>
    <t>80542-410420</t>
  </si>
  <si>
    <t>80543-410420</t>
  </si>
  <si>
    <t>80544-410420</t>
  </si>
  <si>
    <t>80551-410420</t>
  </si>
  <si>
    <t>80545-410420</t>
  </si>
  <si>
    <t>80549-410420</t>
  </si>
  <si>
    <t>86472-410420</t>
  </si>
  <si>
    <t>86471-410420</t>
  </si>
  <si>
    <t>34233-401213</t>
  </si>
  <si>
    <t>CONO EJE DELANTERO GUARDAPOLVOS 3/8P</t>
  </si>
  <si>
    <t>3084-401102</t>
  </si>
  <si>
    <t>CONO EJE TRASERO 3/8P ACERO</t>
  </si>
  <si>
    <t>27997-308101</t>
  </si>
  <si>
    <t>DESVIADOR DELANTERO 42-48T Q30 31.8 TOP</t>
  </si>
  <si>
    <t>67392-308605</t>
  </si>
  <si>
    <t>DESVIADOR DELANTERO FD-M3120-M ALIVIO 2X</t>
  </si>
  <si>
    <t>56680-308593</t>
  </si>
  <si>
    <t>DESVIADOR DELANTERO FD-TY300 TOURNEY 3X6</t>
  </si>
  <si>
    <t>78078-308616</t>
  </si>
  <si>
    <t>DESVIADOR DELANTERO FD-U4000-L CUES 2X9/</t>
  </si>
  <si>
    <t>22451-308102</t>
  </si>
  <si>
    <t>DESVIADOR DELANTERO MTB 28.6MM TOP PULL</t>
  </si>
  <si>
    <t>67315-308611</t>
  </si>
  <si>
    <t>DESVIADOR DELANTERO MTB 8V L2 FD-3800 M8</t>
  </si>
  <si>
    <t>67318-308612</t>
  </si>
  <si>
    <t>DESVIADOR DELANTERO MTB 9V L2 FD-3800 M9</t>
  </si>
  <si>
    <t>65277-308609</t>
  </si>
  <si>
    <t>DESVIADOR DELANTERO MTB JS-F08 6VEL 48T/</t>
  </si>
  <si>
    <t>4196-307446</t>
  </si>
  <si>
    <t>DESVIADOR TRASERO MTB 6/7VEL H25 CROMADO</t>
  </si>
  <si>
    <t>24289-307307</t>
  </si>
  <si>
    <t>DESVIADOR TRASERO MTB 6/7VEL H25 NEGRO M</t>
  </si>
  <si>
    <t>12776-307474</t>
  </si>
  <si>
    <t>DESVIADOR TRASERO RD-TY500 TOURNEY 6-7V</t>
  </si>
  <si>
    <t>6097-307456</t>
  </si>
  <si>
    <t>DESVIADOR TRASERO RD-TZ500-GS TOURNEY 6V</t>
  </si>
  <si>
    <t>78077-307309</t>
  </si>
  <si>
    <t>DESVIADOR TRASERO RD-U3020 SGS CUES 2X9V</t>
  </si>
  <si>
    <t>78090-307310</t>
  </si>
  <si>
    <t>DESVIADOR TRASERO RD-U6020-10 SGS CUES 2</t>
  </si>
  <si>
    <t>4793-307453</t>
  </si>
  <si>
    <t>DESVIADOR TRASERO RUTA 8VEL H70 CROMADO</t>
  </si>
  <si>
    <t>42255-602467</t>
  </si>
  <si>
    <t>DROPOUT PARA MARCO ALLIGATOR (2018) GW</t>
  </si>
  <si>
    <t>4314-302104</t>
  </si>
  <si>
    <t>EJE DE CENTRO 36-54-46 DC Y-5</t>
  </si>
  <si>
    <t>4313-302107</t>
  </si>
  <si>
    <t>EJE DE CENTRO 36-57-46 DC Y-16</t>
  </si>
  <si>
    <t>3157-402215</t>
  </si>
  <si>
    <t>EJE DELANTERO BMX 3/8X5-1/2 B-4 ACERO</t>
  </si>
  <si>
    <t>33294-402112</t>
  </si>
  <si>
    <t>EJE DELANTERO BMX CON BALINERAS 140MM JK</t>
  </si>
  <si>
    <t>3154-402208</t>
  </si>
  <si>
    <t>EJE DELANTERO RUTA QR M9X108MM CH-26 ACE</t>
  </si>
  <si>
    <t>3156-402214</t>
  </si>
  <si>
    <t>EJE TRASERO BMX 3/8X6-1/2 ACERO</t>
  </si>
  <si>
    <t>22444-402111</t>
  </si>
  <si>
    <t>EJE TRASERO BMX CON BALINERAS 160MM JK-Z</t>
  </si>
  <si>
    <t>3153-402207</t>
  </si>
  <si>
    <t>EJE TRASERO RUTA PARA QR M10X135MM CH-25</t>
  </si>
  <si>
    <t>3162-402230</t>
  </si>
  <si>
    <t>EJE TRASERO RUTA QR M10X145 AER105 ACERO</t>
  </si>
  <si>
    <t>3180-601120</t>
  </si>
  <si>
    <t>ESPACIADOR 28.6X10MM ALUMINIO NEGRO</t>
  </si>
  <si>
    <t>3179-601113</t>
  </si>
  <si>
    <t>ESPACIADOR 28.6X10MM CS-3510 CARBONO NEG</t>
  </si>
  <si>
    <t>61185-606583</t>
  </si>
  <si>
    <t>ESPUMAS LUBRICADORAS PARA RETENEDORES FA</t>
  </si>
  <si>
    <t>3248-405106</t>
  </si>
  <si>
    <t>EXTENSION DE VALVULA FRANCESA F/V 29MM</t>
  </si>
  <si>
    <t>16765-405118</t>
  </si>
  <si>
    <t>EXTENSION DE VALVULA FRANCESA F/V 50MM</t>
  </si>
  <si>
    <t>33904-502156</t>
  </si>
  <si>
    <t>FUNDA DE CAMBIO 2P 4MMX50M NEGRO</t>
  </si>
  <si>
    <t>3312-502113</t>
  </si>
  <si>
    <t>FUNDA DE FRENO 1P 5MMX100MTS NEGRO</t>
  </si>
  <si>
    <t>16424-804327</t>
  </si>
  <si>
    <t>GRIPS BMX DIRT LOCK ON 147MM VLG-411A CA</t>
  </si>
  <si>
    <t>16423-804327</t>
  </si>
  <si>
    <t>16442-804327</t>
  </si>
  <si>
    <t>27577-804309</t>
  </si>
  <si>
    <t>GRIPS INFANTIL 105MM 20P JK1945 CAUCHO C</t>
  </si>
  <si>
    <t>6942-804309</t>
  </si>
  <si>
    <t>80538-804309</t>
  </si>
  <si>
    <t>80539-804309</t>
  </si>
  <si>
    <t>80541-804309</t>
  </si>
  <si>
    <t>80540-804309</t>
  </si>
  <si>
    <t>5044-804405</t>
  </si>
  <si>
    <t>GRIPS MTB 120MM LISO LF-112 ESPUMA NEGRO</t>
  </si>
  <si>
    <t>3657-804416</t>
  </si>
  <si>
    <t>GRIPS MTB 120MM SZ-100A LINEAS CAUCHO NE</t>
  </si>
  <si>
    <t>3665-804425</t>
  </si>
  <si>
    <t>GRIPS MTB 130MM HANDLZ H-D2 CAUCHO NEGRO</t>
  </si>
  <si>
    <t>3661-804420</t>
  </si>
  <si>
    <t>GRIPS MTB 90MM SZ-129C (CORTOS) CAUCHO</t>
  </si>
  <si>
    <t>77820-804687</t>
  </si>
  <si>
    <t>GRIPS MTB 95MM SZ-113B ROMBOS CAUCHO COL</t>
  </si>
  <si>
    <t>77824-804687</t>
  </si>
  <si>
    <t>77825-804687</t>
  </si>
  <si>
    <t>77823-804687</t>
  </si>
  <si>
    <t>77821-804687</t>
  </si>
  <si>
    <t>77822-804687</t>
  </si>
  <si>
    <t>77819-804687</t>
  </si>
  <si>
    <t>30891-804485</t>
  </si>
  <si>
    <t>GRIPS MTB DUAL LOCK 130MM PUNTOS SZ-16</t>
  </si>
  <si>
    <t>30888-804485</t>
  </si>
  <si>
    <t>61922-804485</t>
  </si>
  <si>
    <t>30892-804485</t>
  </si>
  <si>
    <t>30885-804485</t>
  </si>
  <si>
    <t>30875-804488</t>
  </si>
  <si>
    <t>GRIPS MTB ERGONOMICO DUAL LOCK 130MM SZ-</t>
  </si>
  <si>
    <t>3398-405101</t>
  </si>
  <si>
    <t>GUSANILLO AUTOMATICO DUNLOP SIN TAMBOR</t>
  </si>
  <si>
    <t>3776-403456</t>
  </si>
  <si>
    <t>JGO MANZANA PARALLEX EJE C/ESP NEG POWER</t>
  </si>
  <si>
    <t>64593-403394</t>
  </si>
  <si>
    <t>JGO MANZANAS ALUMINIO MTB GW 10 VEL NEGR</t>
  </si>
  <si>
    <t>8959-305139</t>
  </si>
  <si>
    <t>JUEGO DE BIELAS CUADRANTE 1VEL 1/2X1/8 2</t>
  </si>
  <si>
    <t>9460-305143</t>
  </si>
  <si>
    <t>JUEGO DE BIELAS CUADRANTE 1VEL 1/2X1/8 4</t>
  </si>
  <si>
    <t>9461-305144</t>
  </si>
  <si>
    <t>4239-305441</t>
  </si>
  <si>
    <t>JUEGO DE BIELAS MTB 3X7VEL 28/38/48T 170</t>
  </si>
  <si>
    <t>61281-305359</t>
  </si>
  <si>
    <t>JUEGO DE BIELAS MTB 3X8VEL 24/34/42T EIG</t>
  </si>
  <si>
    <t>61311-305360</t>
  </si>
  <si>
    <t>JUEGO DE BIELAS MTB 3X9VEL 24/34/42T NIN</t>
  </si>
  <si>
    <t>82050-305579</t>
  </si>
  <si>
    <t>JUEGO DE BIELAS MTB CON PROTECTOR 3X7VEL</t>
  </si>
  <si>
    <t>6968-305258</t>
  </si>
  <si>
    <t>JUEGO DE BIELAS RUTA 2X8VEL 39/53T 170MM</t>
  </si>
  <si>
    <t>6075-306426</t>
  </si>
  <si>
    <t>JUEGO DE CAMBIOS TZ500 3X6V SHIMANO</t>
  </si>
  <si>
    <t>3021-104106</t>
  </si>
  <si>
    <t>JUEGO DE CENTRO 3P BSA 1.37X24T ACERO NE</t>
  </si>
  <si>
    <t>3024-104301</t>
  </si>
  <si>
    <t>JUEGO DE CENTRO AMERICANO 9P 51.5MM-5/16</t>
  </si>
  <si>
    <t>2072-302411</t>
  </si>
  <si>
    <t>JUEGO DE CENTRO CARTUCHO CUADRANTE 910BK neco</t>
  </si>
  <si>
    <t>34693-302425</t>
  </si>
  <si>
    <t>JUEGO DE CENTRO CARTUCHO CUADRANTE KL-08</t>
  </si>
  <si>
    <t>23730-302419</t>
  </si>
  <si>
    <t>JUEGO DE CENTRO CARTUCHO CUADRANTE XR-A0</t>
  </si>
  <si>
    <t>73565-804248</t>
  </si>
  <si>
    <t>JUEGO DE CINTAS DAZZLING TRIANGLE PU + E</t>
  </si>
  <si>
    <t>73563-804246</t>
  </si>
  <si>
    <t>JUEGO DE CINTAS REFLECTIVE DAZZLING PU +</t>
  </si>
  <si>
    <t>73564-804247</t>
  </si>
  <si>
    <t>JUEGO DE CINTAS REFLECTIVE TRIANGLE PU +</t>
  </si>
  <si>
    <t>32124-403509</t>
  </si>
  <si>
    <t>JUEGO DE CUBOS HB/FH-TX505 8-9-10 QR SHI</t>
  </si>
  <si>
    <t>8512-105431</t>
  </si>
  <si>
    <t>JUEGO DE DIRECCION 6P SEMI-INTEGRADO 1-1</t>
  </si>
  <si>
    <t>2501-105305</t>
  </si>
  <si>
    <t>JUEGO DE DIRECCION 8P 25.4MM/1P HP-03 AC</t>
  </si>
  <si>
    <t>30610-105456</t>
  </si>
  <si>
    <t>JUEGO DE DIRECCION AHEAD EXTERNO 1-1/8 Q</t>
  </si>
  <si>
    <t>60108-105463</t>
  </si>
  <si>
    <t>JUEGO DE DIRECCION INTEGRADO 1-1/8X1-1/4</t>
  </si>
  <si>
    <t>30611-105457</t>
  </si>
  <si>
    <t>JUEGO DE DIRECCION SEMI-INTEGRADO 1-1/8</t>
  </si>
  <si>
    <t>15669-501457</t>
  </si>
  <si>
    <t>JUEGO DE FRENO DISCO MECANICO 6T LB-DX20</t>
  </si>
  <si>
    <t>39552-501487</t>
  </si>
  <si>
    <t>JUEGO DE FRENO MTB DISCO HIDRAULICOS BL/</t>
  </si>
  <si>
    <t>3288-501407</t>
  </si>
  <si>
    <t>JUEGO DE FRENO V-BRAKE 941AE/325AE/2P AL</t>
  </si>
  <si>
    <t>3286-501404</t>
  </si>
  <si>
    <t>17089-501458</t>
  </si>
  <si>
    <t>JUEGO DE FRENO V-BRAKE YD-V19+B14 PLASTI</t>
  </si>
  <si>
    <t>31567-501478</t>
  </si>
  <si>
    <t>JUEGO DE FRENO V-BRAKE YD-V21+YD-B36A AL</t>
  </si>
  <si>
    <t>64681-307617</t>
  </si>
  <si>
    <t>JUEGO DE POLEAS RD-M5100 DEORE 11V SHIMA</t>
  </si>
  <si>
    <t>3880-503507</t>
  </si>
  <si>
    <t>JUEGO DE TORNILLOS Y GUIAS FV01</t>
  </si>
  <si>
    <t>3773-403447</t>
  </si>
  <si>
    <t>JUEGO MANZANAS ACERO C/PUNTILLA NEGRAS</t>
  </si>
  <si>
    <t>18066-407109</t>
  </si>
  <si>
    <t>LLANTA 20X2.125 P707 COLORES PONELLY</t>
  </si>
  <si>
    <t>71065-407080</t>
  </si>
  <si>
    <t>LLANTA 29 X 2.25 (55-622) SAGUARO XC-TUB</t>
  </si>
  <si>
    <t>80483-407480</t>
  </si>
  <si>
    <t>LLANTA 29X2.20 H-5166 27 TPI SKINWALL</t>
  </si>
  <si>
    <t>46251-407476</t>
  </si>
  <si>
    <t>LLANTA BMX 20X2.125 27TPI H- 5228 FREE S</t>
  </si>
  <si>
    <t>24300-407211</t>
  </si>
  <si>
    <t>LLANTA BMX 20X2.125 P704 FLIP</t>
  </si>
  <si>
    <t>32354-407216</t>
  </si>
  <si>
    <t>LLANTA INFANTIL 12-1/2X2-1/4 F146 FLIP</t>
  </si>
  <si>
    <t>17860-407111</t>
  </si>
  <si>
    <t>LLANTA INFANTIL 16X2.125 P705 LINEA BLAN</t>
  </si>
  <si>
    <t>17861-407111</t>
  </si>
  <si>
    <t>32353-407217</t>
  </si>
  <si>
    <t>LLANTA INFANTIL 16X2.215 F146 FLIP</t>
  </si>
  <si>
    <t>26817-407438</t>
  </si>
  <si>
    <t>LLANTA MTB 20X2.0 27TPI H-5129 VICTORY C</t>
  </si>
  <si>
    <t>32351-407219</t>
  </si>
  <si>
    <t>LLANTA MTB 24X2.125 F158 FLIP</t>
  </si>
  <si>
    <t>26620-407440</t>
  </si>
  <si>
    <t>LLANTA MTB 26X1.95 27TPI H-5129 VICTORY</t>
  </si>
  <si>
    <t>24299-407210</t>
  </si>
  <si>
    <t>LLANTA MTB 26X2.125 PM-1063 FLIP</t>
  </si>
  <si>
    <t>65078-407570</t>
  </si>
  <si>
    <t>LLANTA MTB 27.5X2.125 PM-177 FLIP</t>
  </si>
  <si>
    <t>64541-407477</t>
  </si>
  <si>
    <t>LLANTA MTB 27.5X2.20 27TPI H-5129 VICTOR</t>
  </si>
  <si>
    <t>26081-407969</t>
  </si>
  <si>
    <t>LLANTA MTB 29X2.0 30TPI H-5120 EVOLUTION</t>
  </si>
  <si>
    <t>77196-407575</t>
  </si>
  <si>
    <t>LLANTA MTB 29X2.20 30TPI H5235 PHANTON W</t>
  </si>
  <si>
    <t>77198-407577</t>
  </si>
  <si>
    <t>LLANTA MTB 29X2.20 30TPI/60TPI H5129 VIC</t>
  </si>
  <si>
    <t>22828-407998</t>
  </si>
  <si>
    <t>LLANTA RUTA 700X23 30TPI H-5128 ATTACK C</t>
  </si>
  <si>
    <t>36586-407557</t>
  </si>
  <si>
    <t>LLANTA RUTA 700X25 30TPI H-5128 ATTACK P</t>
  </si>
  <si>
    <t>53951-407563</t>
  </si>
  <si>
    <t>LLANTA RUTA 700X28 30TPI H-5128 ATTACK P</t>
  </si>
  <si>
    <t>36959-809036</t>
  </si>
  <si>
    <t>LUZ DELANTERA USB 300LM EBL-2273 PLASTIC</t>
  </si>
  <si>
    <t>36966-809031</t>
  </si>
  <si>
    <t>LUZ DELANTERA/TRASERA USB 120LM/15LM EBL</t>
  </si>
  <si>
    <t>36961-809041</t>
  </si>
  <si>
    <t>LUZ MIXTA USB 100LM EBL-035RB PLASTICO G</t>
  </si>
  <si>
    <t>42511-809043</t>
  </si>
  <si>
    <t>39599-809043</t>
  </si>
  <si>
    <t>39644-809044</t>
  </si>
  <si>
    <t>36901-604376</t>
  </si>
  <si>
    <t>MANUBRIO BMX 740MM GORILA ACERO COLORES</t>
  </si>
  <si>
    <t>3723-604428</t>
  </si>
  <si>
    <t>MANUBRIO MTB FLAT 580MM HL-01 ACERO NEGR</t>
  </si>
  <si>
    <t>3727-604435</t>
  </si>
  <si>
    <t>MANUBRIO MTB FLAT 580MM JB-AL100 ALUMINI</t>
  </si>
  <si>
    <t>55339-604482</t>
  </si>
  <si>
    <t>MANUBRIO MTB RISE 35X800MM JD-HB-104BT A</t>
  </si>
  <si>
    <t>3737-604444</t>
  </si>
  <si>
    <t>MANUBRIO MTB RISE 580MM JB-AL200 ALUMINI</t>
  </si>
  <si>
    <t>18338-604470</t>
  </si>
  <si>
    <t>MANUBRIO MTB RISE 640MM INSTINCT ALUMINI</t>
  </si>
  <si>
    <t>55324-604200</t>
  </si>
  <si>
    <t>MANUBRIO RUTA 31.8MM CLIMB ALUMINIO GW</t>
  </si>
  <si>
    <t>13109-801500</t>
  </si>
  <si>
    <t>13110-801501</t>
  </si>
  <si>
    <t>37869-801448</t>
  </si>
  <si>
    <t>MINIBOMBA A/V-F/V-D/V 80PSI M21-07 ALUMI</t>
  </si>
  <si>
    <t>44480-801144</t>
  </si>
  <si>
    <t>MINIBOMBA TELESCOPICA CON MANGUERA A/V-F</t>
  </si>
  <si>
    <t>80590-408700</t>
  </si>
  <si>
    <t>NEUMATICO MOLDED 24X1.75/2.125 A/V 48MM</t>
  </si>
  <si>
    <t>79824-408787</t>
  </si>
  <si>
    <t>NEUMATICO MOLDED 29X2.25/2.50 F/V 48MM C</t>
  </si>
  <si>
    <t>7078-408565</t>
  </si>
  <si>
    <t>NEUMATICO MOLDED 700X18/23C F/V 48MM CHA</t>
  </si>
  <si>
    <t>36114-408651</t>
  </si>
  <si>
    <t>NEUMATICO MOLDED 700X18/23C F/V 60MM CHA</t>
  </si>
  <si>
    <t>36589-408652</t>
  </si>
  <si>
    <t>NEUMATICO MOLDED 700X18/23C F/V 80MM CHA</t>
  </si>
  <si>
    <t>79869-408248</t>
  </si>
  <si>
    <t>NEUMATICO MOLDED 700X23/32C F/V 60MM BUT</t>
  </si>
  <si>
    <t>53502-408655</t>
  </si>
  <si>
    <t>NEUMATICO MOLDED 700X25/32C F/V 48MM CHA</t>
  </si>
  <si>
    <t>69743-408236</t>
  </si>
  <si>
    <t>NEUMATICO MOLDED A/V 48MM 27.5X1.75/2.12</t>
  </si>
  <si>
    <t>26761-408642</t>
  </si>
  <si>
    <t>NEUMATICO NO MOLDED 16X1.95/2.125 A/V 33</t>
  </si>
  <si>
    <t>24296-408638</t>
  </si>
  <si>
    <t>NEUMATICO NO MOLDED 20X1.95/2.125 A/V 33</t>
  </si>
  <si>
    <t>23806-408633</t>
  </si>
  <si>
    <t>NEUMATICO NO MOLDED 26X1.95/2.125 D/V 26</t>
  </si>
  <si>
    <t>41664-408609</t>
  </si>
  <si>
    <t>NEUMATICO NO MOLDED 27.5X1.75/2.10 F/V 3</t>
  </si>
  <si>
    <t>41665-408612</t>
  </si>
  <si>
    <t>NEUMATICO NO MOLDED 29X1.75/2.10 A/V 48M</t>
  </si>
  <si>
    <t>3821-411106</t>
  </si>
  <si>
    <t>NIPLES PARA RADIO 14G 20MM GW</t>
  </si>
  <si>
    <t>36613-606697</t>
  </si>
  <si>
    <t>PALANCA REMOTO RL/O 525 - 860S (27.5/29)</t>
  </si>
  <si>
    <t>67316-309606</t>
  </si>
  <si>
    <t>PALANCAS DE CAMBIOS MTB 2X8 VEL SL-6900</t>
  </si>
  <si>
    <t>3700-502330</t>
  </si>
  <si>
    <t>PALANCAS DE FRENO MTB V-BRAKE 2 DEDOS 32</t>
  </si>
  <si>
    <t>3695-502325</t>
  </si>
  <si>
    <t>PALANCAS DE FRENO MTB V-BRAKE 2 DEDOS B1</t>
  </si>
  <si>
    <t>3689-502312</t>
  </si>
  <si>
    <t>PALANCAS DE FRENO MTB V-BRAKE 3 DEDOS 29</t>
  </si>
  <si>
    <t>3694-502324</t>
  </si>
  <si>
    <t>PALANCAS DE FRENO MTB V-BRAKE 3 DEDOS B1</t>
  </si>
  <si>
    <t>10424-309434</t>
  </si>
  <si>
    <t>PALANCAS DE FRENO/CAMBIO MTB 3X7 VEL SP-</t>
  </si>
  <si>
    <t>3864-805115</t>
  </si>
  <si>
    <t>PARAL CENTRAL AJUSTABLE 28P HX-Y10-02 AL</t>
  </si>
  <si>
    <t>7865-805117</t>
  </si>
  <si>
    <t>PARAL TRASERO AJUSTABLE 24/28P 616-02 AL</t>
  </si>
  <si>
    <t>7866-805117</t>
  </si>
  <si>
    <t>3876-808114</t>
  </si>
  <si>
    <t>PARRILLA MTB TRASERA GRADUABLE PARA TIJA</t>
  </si>
  <si>
    <t>6292-502412</t>
  </si>
  <si>
    <t>PASTILLAS DE FRENO DISCO AE-P10 SEMIMETA</t>
  </si>
  <si>
    <t>11904-502467</t>
  </si>
  <si>
    <t>PASTILLAS DE FRENO DISCO B05S RESINA SHI</t>
  </si>
  <si>
    <t>28636-502712</t>
  </si>
  <si>
    <t>PASTILLAS DE FRENO DISCO BPF-52 RESINA C</t>
  </si>
  <si>
    <t>28644-502713</t>
  </si>
  <si>
    <t>PASTILLAS DE FRENO DISCO BPFR-52 RESINA</t>
  </si>
  <si>
    <t>58727-502787</t>
  </si>
  <si>
    <t>PASTILLAS DE FRENO DISCO DB01 PARA TITAN</t>
  </si>
  <si>
    <t>20737-502675</t>
  </si>
  <si>
    <t>PASTILLAS DE FRENO DISCO JAK-5 SEMIMETAL</t>
  </si>
  <si>
    <t>37723-502758</t>
  </si>
  <si>
    <t>PASTILLAS DE FRENO DISCO SEMIMETALICA</t>
  </si>
  <si>
    <t>80731-303369</t>
  </si>
  <si>
    <t>PEDALES BMX 20P FP-850 PLASTICO COLORES</t>
  </si>
  <si>
    <t>80732-303369</t>
  </si>
  <si>
    <t>80736-303369</t>
  </si>
  <si>
    <t>80735-303369</t>
  </si>
  <si>
    <t>80734-303369</t>
  </si>
  <si>
    <t>80733-303369</t>
  </si>
  <si>
    <t>36953-303350</t>
  </si>
  <si>
    <t>PEDALES BMX FP-922 ALUMINIO NEGRO FEIMIN</t>
  </si>
  <si>
    <t>2390-303321</t>
  </si>
  <si>
    <t>PEDALES BMX FP-965A ALUMINIO NATURAL FEI</t>
  </si>
  <si>
    <t>2438-303321</t>
  </si>
  <si>
    <t>17567-303345</t>
  </si>
  <si>
    <t>PEDALES BMX JUNIOR FP-651 PLASTICO NEGRO</t>
  </si>
  <si>
    <t>17566-303345</t>
  </si>
  <si>
    <t>37828-303349</t>
  </si>
  <si>
    <t>PEDALES BMX MX-P650 PLASTICO NEGRO</t>
  </si>
  <si>
    <t>37829-303349</t>
  </si>
  <si>
    <t>36950-303260</t>
  </si>
  <si>
    <t>PEDALES DE RUTA 9/16 ZP-110 CARBONO GW</t>
  </si>
  <si>
    <t>36125-303460</t>
  </si>
  <si>
    <t>PEDALES ENDURO DOBLE PROPOSITO ZP-109S A</t>
  </si>
  <si>
    <t>70113-303346</t>
  </si>
  <si>
    <t>PEDALES JUNIOR FP-602B CORAZON COLORES F</t>
  </si>
  <si>
    <t>44080-303346</t>
  </si>
  <si>
    <t>2391-303323</t>
  </si>
  <si>
    <t>PEDALES MTB FP-808 PLASTICO NEGRO FEIMIN</t>
  </si>
  <si>
    <t>2439-303323</t>
  </si>
  <si>
    <t>2445-303332</t>
  </si>
  <si>
    <t>PEDALES MTB JUNIOR D05 PLASTICO COLORES</t>
  </si>
  <si>
    <t>2446-303332</t>
  </si>
  <si>
    <t>36956-303461</t>
  </si>
  <si>
    <t>PEDALES MTB XC ZP-108S ALUMINIO NEGRO GW</t>
  </si>
  <si>
    <t>37041-305337</t>
  </si>
  <si>
    <t>PLATO BMX BIELA ENTERIZA 28T 1/8 MXR 12</t>
  </si>
  <si>
    <t>37040-305337</t>
  </si>
  <si>
    <t>37038-305337</t>
  </si>
  <si>
    <t>65664-305340</t>
  </si>
  <si>
    <t>PLATO BMX BIELA ENTERIZA 40T 1/8 MXR 20</t>
  </si>
  <si>
    <t>3897-504101</t>
  </si>
  <si>
    <t>PORTACABLE PARA FRENO CANTILEVER MOD C-0</t>
  </si>
  <si>
    <t>3923-601212</t>
  </si>
  <si>
    <t>POSTE SILLIN BMX 22.2X400MM ACERO CROMAD</t>
  </si>
  <si>
    <t>15305-601358</t>
  </si>
  <si>
    <t>POTENCIA BMX CON POSTE PEQUE A 22.2MM SC</t>
  </si>
  <si>
    <t>5599-601341</t>
  </si>
  <si>
    <t>POTENCIA BMX FRONTAL CON POSTE 21.1/22.2</t>
  </si>
  <si>
    <t>5478-601341</t>
  </si>
  <si>
    <t>1992-601452</t>
  </si>
  <si>
    <t>POTENCIA MTB CON POSTE 22.2MM JB-A62SB-2</t>
  </si>
  <si>
    <t>2011-601452</t>
  </si>
  <si>
    <t>7003-601473</t>
  </si>
  <si>
    <t>POTENCIA MTB DOWNHILL 31.8X50MM +30 TDS-</t>
  </si>
  <si>
    <t>55363-601373</t>
  </si>
  <si>
    <t>POTENCIA MTB/RUTA 31.8MM +-7 JD-RD-2201B</t>
  </si>
  <si>
    <t>55362-601373</t>
  </si>
  <si>
    <t>55392-601373</t>
  </si>
  <si>
    <t>8944-810109</t>
  </si>
  <si>
    <t>PROTECTOR PARA MARCO DE CADENA VLF-001 N</t>
  </si>
  <si>
    <t>2163-410342</t>
  </si>
  <si>
    <t>RADIO 20X1 3/8 (217MM) 14G NEGRO</t>
  </si>
  <si>
    <t>2097-410320</t>
  </si>
  <si>
    <t>RADIOS CON NIPLE 16P 136MMX14G CP MLS</t>
  </si>
  <si>
    <t>2154-410352</t>
  </si>
  <si>
    <t>RADIOS CON NIPLE 20P 186MMX14G CP GW</t>
  </si>
  <si>
    <t>2172-410354</t>
  </si>
  <si>
    <t>RADIOS CON NIPLE 24P 235MMX14G CP GW</t>
  </si>
  <si>
    <t>11712-410374</t>
  </si>
  <si>
    <t>RADIOS CON NIPLE 26P 254MMX14G NEGRO MLS</t>
  </si>
  <si>
    <t>18704-410377</t>
  </si>
  <si>
    <t>RADIOS CON NIPLE 26P 263MMX14G CP MLS</t>
  </si>
  <si>
    <t>22935-410389</t>
  </si>
  <si>
    <t>RADIOS CON NIPLE 27.5P 273MMX14G 16MM NE</t>
  </si>
  <si>
    <t>22937-410391</t>
  </si>
  <si>
    <t>RADIOS CON NIPLE 27.5P 277MMX14G 16MM NE</t>
  </si>
  <si>
    <t>22939-410393</t>
  </si>
  <si>
    <t>RADIOS CON NIPLE 29P 294MMX14G 16MM NEGR</t>
  </si>
  <si>
    <t>22940-410394</t>
  </si>
  <si>
    <t>RADIOS CON NIPLE 29P 296MMX14G 16MM NEGR</t>
  </si>
  <si>
    <t>61183-606581</t>
  </si>
  <si>
    <t>RETENEDORES 28MM SUNTOUR XCM</t>
  </si>
  <si>
    <t>78-409554</t>
  </si>
  <si>
    <t>RIN 12PX1.50 12H 7X NATURAL GW</t>
  </si>
  <si>
    <t>203-409558</t>
  </si>
  <si>
    <t>RIN BMX 16PX1.75 24H 7X NATURAL GW</t>
  </si>
  <si>
    <t>459-409557</t>
  </si>
  <si>
    <t>RIN BMX 20X1.75 36H 7X GW</t>
  </si>
  <si>
    <t>961-409556</t>
  </si>
  <si>
    <t>RIN MTB 24PX1.75 36H 7X NATURAL GW</t>
  </si>
  <si>
    <t>1193-409555</t>
  </si>
  <si>
    <t>RIN MTB 26PX1.75 36H 7X NATURAL GW</t>
  </si>
  <si>
    <t>22982-409580</t>
  </si>
  <si>
    <t>RIN MTB 27.5P 32/36H BETA NEGRO GW</t>
  </si>
  <si>
    <t>22983-409582</t>
  </si>
  <si>
    <t>RIN MTB 29 32/36H BETA ALUMINIO GW</t>
  </si>
  <si>
    <t>2307-409502</t>
  </si>
  <si>
    <t>RIN RUTA 700C 32/36H J14DB R30 ALUMINIO</t>
  </si>
  <si>
    <t>2306-409501</t>
  </si>
  <si>
    <t>RIN RUTA 700C 36H R30 NATURAL GW</t>
  </si>
  <si>
    <t>13279-502495</t>
  </si>
  <si>
    <t>ROTOR DE FRENO 6 TORNILOS 203MM DB-05-20</t>
  </si>
  <si>
    <t>36126-502757</t>
  </si>
  <si>
    <t>ROTOR DE FRENO 6TORNILLOS 160MM JAK-8 F/</t>
  </si>
  <si>
    <t>19524-502644</t>
  </si>
  <si>
    <t>ROTOR DISC BRAKE SM-RT56 180MM</t>
  </si>
  <si>
    <t>32258-502741</t>
  </si>
  <si>
    <t>ROTOR SM-RT10 160MM SHIMANO</t>
  </si>
  <si>
    <t>32257-502740</t>
  </si>
  <si>
    <t>ROTOR SM-RT10 180MM</t>
  </si>
  <si>
    <t>62585-304157</t>
  </si>
  <si>
    <t>RUEDA LIBRE 16T JH-16T MARRON JIEHAO</t>
  </si>
  <si>
    <t>29430-304150</t>
  </si>
  <si>
    <t>RUEDA LIBRE 18T 1/2X1/8 GWF-A01 HI-TEN P</t>
  </si>
  <si>
    <t>322-304121</t>
  </si>
  <si>
    <t>RUEDA LIBRE 18T TRI-DIAMOND MARRON MILLE</t>
  </si>
  <si>
    <t>369-304103</t>
  </si>
  <si>
    <t>RUEDA LIBRE 20T FW-111 MARRON EASTMAN</t>
  </si>
  <si>
    <t>6009-304468</t>
  </si>
  <si>
    <t>RUEDA LIBRE MULTIPLE MF-TZ500-6-CP 14-28</t>
  </si>
  <si>
    <t>2530-304444</t>
  </si>
  <si>
    <t>RUEDA LIBRE MULTIPLE MTB 6VEL 14-28T MAR</t>
  </si>
  <si>
    <t>36251-304512</t>
  </si>
  <si>
    <t>RUEDA LIBRE MULTIPLE MTB 7VEL 14-28T KDF</t>
  </si>
  <si>
    <t>4346-817108</t>
  </si>
  <si>
    <t>4347-817109</t>
  </si>
  <si>
    <t>5140-817110</t>
  </si>
  <si>
    <t>8646-817112</t>
  </si>
  <si>
    <t>20456-817112</t>
  </si>
  <si>
    <t>53598-605278</t>
  </si>
  <si>
    <t>SILL N AF RUTA/MTB 270*142 MM RC D3735</t>
  </si>
  <si>
    <t>65445-605286</t>
  </si>
  <si>
    <t>SILLIN ANATOMICO MTB/ROAD AS1 244*148MM</t>
  </si>
  <si>
    <t>12390-605484</t>
  </si>
  <si>
    <t>3375-605484</t>
  </si>
  <si>
    <t>36650-605269</t>
  </si>
  <si>
    <t>SILLIN MTB ANTIPROSTATICO QF-3043 GW</t>
  </si>
  <si>
    <t>46491-605482</t>
  </si>
  <si>
    <t>SILLIN MTB GW M3 634A-S35-A/51/0010/00</t>
  </si>
  <si>
    <t>46493-605482</t>
  </si>
  <si>
    <t>46492-605482</t>
  </si>
  <si>
    <t>3353-605461</t>
  </si>
  <si>
    <t>SILLIN MTB VINILO 605A NEGRO</t>
  </si>
  <si>
    <t>24341-605252</t>
  </si>
  <si>
    <t>SILLIN MTB/RUTA GW M1</t>
  </si>
  <si>
    <t>31111-605252</t>
  </si>
  <si>
    <t>28478-605256</t>
  </si>
  <si>
    <t>SILLIN MTB/RUTA GW VD1165-01</t>
  </si>
  <si>
    <t>20732-605322</t>
  </si>
  <si>
    <t>SILLIN PRINCESS 12-16 JK2157 BABY</t>
  </si>
  <si>
    <t>8652-605322</t>
  </si>
  <si>
    <t>80247-605290</t>
  </si>
  <si>
    <t>SILLIN RUTA/MTB AF 141MM VORTEX OR GW</t>
  </si>
  <si>
    <t>80248-605290</t>
  </si>
  <si>
    <t>80249-605290</t>
  </si>
  <si>
    <t>80246-605290</t>
  </si>
  <si>
    <t>80245-605290</t>
  </si>
  <si>
    <t>3352-605459</t>
  </si>
  <si>
    <t>SILLIN TURISMO CON RESORTES -809 NEGRO</t>
  </si>
  <si>
    <t>3350-605455</t>
  </si>
  <si>
    <t>SILLIN XD-104H MTB GW</t>
  </si>
  <si>
    <t>12654-806120</t>
  </si>
  <si>
    <t>SOPORTE DE BOTELLA FIBRA DE VIDRIO COLOR</t>
  </si>
  <si>
    <t>21909-806120</t>
  </si>
  <si>
    <t>17431-806120</t>
  </si>
  <si>
    <t>62744-806120</t>
  </si>
  <si>
    <t>15644-806120</t>
  </si>
  <si>
    <t>59503-806120</t>
  </si>
  <si>
    <t>15645-806120</t>
  </si>
  <si>
    <t>3909-303405</t>
  </si>
  <si>
    <t>SOPORTE DE PIE GRAFILADO HX-Y06-04 ALUMI</t>
  </si>
  <si>
    <t>3908-303405</t>
  </si>
  <si>
    <t>3910-303405</t>
  </si>
  <si>
    <t>3907-303404</t>
  </si>
  <si>
    <t>SOPORTE DE PIE HEXAGONAL DW003 ALUMINIO</t>
  </si>
  <si>
    <t>24923-303404</t>
  </si>
  <si>
    <t>3905-303404</t>
  </si>
  <si>
    <t>3904-303404</t>
  </si>
  <si>
    <t>24924-303404</t>
  </si>
  <si>
    <t>24922-303404</t>
  </si>
  <si>
    <t>6190-405110</t>
  </si>
  <si>
    <t>TAPA PARA VALVULA AMERICANA A/V BALA HX-</t>
  </si>
  <si>
    <t>9636-405112</t>
  </si>
  <si>
    <t>TAPA PARA VALVULA AMERICANA A/V COHETE H</t>
  </si>
  <si>
    <t>16408-405116</t>
  </si>
  <si>
    <t>TAPA PARA VALVULA AMERICANA A/V GRANADA</t>
  </si>
  <si>
    <t>16407-405116</t>
  </si>
  <si>
    <t>8709-405111</t>
  </si>
  <si>
    <t>TAPA PARA VALVULA AMERICANA A/V TAMBOR H</t>
  </si>
  <si>
    <t>4167-502135</t>
  </si>
  <si>
    <t>TENSIONADOR PALANCA DE FRENO M7 C-014 AL</t>
  </si>
  <si>
    <t>4166-502131</t>
  </si>
  <si>
    <t>TENSIONADOR PALANCA DE FRENO M7 C-016 AL</t>
  </si>
  <si>
    <t>6274-502143</t>
  </si>
  <si>
    <t>TERMINAL PARA FUNDA DE FRENO 5MM 100PCS</t>
  </si>
  <si>
    <t>14280-502147</t>
  </si>
  <si>
    <t>TERMINALES PARA FUNDA DE CAMBIO 4MM NYLO</t>
  </si>
  <si>
    <t>55378-601375</t>
  </si>
  <si>
    <t>TIJA SILLIN 31.6X350MM 31.6 MOAB JD-SP-A</t>
  </si>
  <si>
    <t>55380-601375</t>
  </si>
  <si>
    <t>55379-601375</t>
  </si>
  <si>
    <t>1010-601218</t>
  </si>
  <si>
    <t>TIJA SILLIN 350MM SP-C208 ALUMINIO NEGRO</t>
  </si>
  <si>
    <t>3779-502101</t>
  </si>
  <si>
    <t>TORNILLO DE CABLE PARA MOTO/BICICLETA 10</t>
  </si>
  <si>
    <t>3780-502103</t>
  </si>
  <si>
    <t>TORNILLO DE FRENO TUERCA ABIERTA M6 C006</t>
  </si>
  <si>
    <t>10112-601128</t>
  </si>
  <si>
    <t>TORNILLO DE POTENCIA ALLEN CONO/CU A 120</t>
  </si>
  <si>
    <t>4215-601101</t>
  </si>
  <si>
    <t>TORNILLO DE POTENCIA ALLEN CONO/CU A 165</t>
  </si>
  <si>
    <t>4216-601102</t>
  </si>
  <si>
    <t>TORNILLO MARCO 38MM 50PCS CP MILLENIUM</t>
  </si>
  <si>
    <t>4208-302205</t>
  </si>
  <si>
    <t>TORNILLO PARA EJE DE CENTRO CUADRANTE</t>
  </si>
  <si>
    <t>4142-405103</t>
  </si>
  <si>
    <t>TUERCA TAMBOR PARA GUSANILLO ESTRIADO</t>
  </si>
  <si>
    <t>4259-406108</t>
  </si>
  <si>
    <t>TUERCA TRASERA PARA BMX CON FLANGE</t>
  </si>
  <si>
    <t>4124-502222</t>
  </si>
  <si>
    <t>ZAPATAS PARA FRENO CARTUCHO V-BRAKE 72MM</t>
  </si>
  <si>
    <t>4117-502217</t>
  </si>
  <si>
    <t>ZAPATAS PARA FRENO DE PINZA RUTA 50MM 45</t>
  </si>
  <si>
    <t>4135-502401</t>
  </si>
  <si>
    <t>ZAPATAS PARA FRENO DE VARILLA CANTILEVER</t>
  </si>
  <si>
    <t>28628-502262</t>
  </si>
  <si>
    <t>ZAPATAS PARA FRENO RUTA 50MM 450 NEGRO B</t>
  </si>
  <si>
    <t>4099-502204</t>
  </si>
  <si>
    <t>ZAPATAS PARA FRENO RUTA 52MM B-8 NEGRO</t>
  </si>
  <si>
    <t>53481-502272</t>
  </si>
  <si>
    <t>ZAPATAS PARA FRENO V-BRAKE 70MM M-947V M</t>
  </si>
  <si>
    <t>4112-502213</t>
  </si>
  <si>
    <t>ZAPATAS PARA FRENO V-BRAKE 70MM M-947V N</t>
  </si>
  <si>
    <t>301253 17363</t>
  </si>
  <si>
    <t>CADENA CN-HG54 10VEL 116L SHIMANO</t>
  </si>
  <si>
    <t>301284 61243</t>
  </si>
  <si>
    <t>303302 2429</t>
  </si>
  <si>
    <t>PEDALES BMX FP-836 PLASTICO NEGRO FEIMIN</t>
  </si>
  <si>
    <t>502213 4112</t>
  </si>
  <si>
    <t>303319 2388</t>
  </si>
  <si>
    <t>PEDALES MTB FP-808 PLASTICO COLORES FEIMIN</t>
  </si>
  <si>
    <t>303319 2389</t>
  </si>
  <si>
    <t>303332 2397</t>
  </si>
  <si>
    <t>502708 28635</t>
  </si>
  <si>
    <t>502741 32258</t>
  </si>
  <si>
    <t>502225 3881</t>
  </si>
  <si>
    <t>PASTILLAS DE FRENO DISCO BP-10 RESINA GW</t>
  </si>
  <si>
    <t>601635 32314</t>
  </si>
  <si>
    <t>TIJA SILLIN 400MM - 20MM KORYAK ALUMINIO PRO</t>
  </si>
  <si>
    <t>PEDALES MTB JUNIOR D05 PLASTICO COLORES MILLENIUM</t>
  </si>
  <si>
    <t>PASTILLAS DE FRENO DISCO BPC-17 RESINA CON DISIPADOR GW</t>
  </si>
  <si>
    <t>ZAPATAS PARA FRENO V-BRAKE 70MM M-947V NEGRO GW</t>
  </si>
  <si>
    <t>305850 64821</t>
  </si>
  <si>
    <t>PLATO FC-M5100-2 DEORE 36T-BC 11V SHIMANO</t>
  </si>
  <si>
    <t>502644 19524</t>
  </si>
  <si>
    <t>ROTOR DE FRENO SM-RT56 M 180MM 6 TORNILLOS SHIMANO</t>
  </si>
  <si>
    <t>809186 18223</t>
  </si>
  <si>
    <t>809043 42511</t>
  </si>
  <si>
    <t>809044 39644</t>
  </si>
  <si>
    <t>809032 36957</t>
  </si>
  <si>
    <t>814498 66621</t>
  </si>
  <si>
    <t>CASCO MTB ENDURO E3 GW</t>
  </si>
  <si>
    <t>605256 67609</t>
  </si>
  <si>
    <t>SILLIN MTB 135MM VD1165-01 COLORES GW</t>
  </si>
  <si>
    <t>605256 28478</t>
  </si>
  <si>
    <t>605293 80257</t>
  </si>
  <si>
    <t>SILLIN RUTA/MTB RF 145MM PANTON GW</t>
  </si>
  <si>
    <t>605293 80254</t>
  </si>
  <si>
    <t>605293 80255</t>
  </si>
  <si>
    <t>605293 80256</t>
  </si>
  <si>
    <t>407913 935</t>
  </si>
  <si>
    <t>408577 10282</t>
  </si>
  <si>
    <t>706115 31424</t>
  </si>
  <si>
    <t>ACEITE FLOAT FLUID 16 OZ  BLUE FOX</t>
  </si>
  <si>
    <t>308616 78078</t>
  </si>
  <si>
    <t>605290 80247</t>
  </si>
  <si>
    <t>605290 80248</t>
  </si>
  <si>
    <t>605288 80243</t>
  </si>
  <si>
    <t>SILLIN RUTA/MTB AF 141MM VORTEX GW</t>
  </si>
  <si>
    <t>605288 80241</t>
  </si>
  <si>
    <t>804341 28485</t>
  </si>
  <si>
    <t>605484 7675</t>
  </si>
  <si>
    <t>605484 7674</t>
  </si>
  <si>
    <t>804341 28487</t>
  </si>
  <si>
    <t>804341 28484</t>
  </si>
  <si>
    <t>804341 28488</t>
  </si>
  <si>
    <t>804341 28486</t>
  </si>
  <si>
    <t>804341 28489</t>
  </si>
  <si>
    <t>804341 28483</t>
  </si>
  <si>
    <t>LUZ DELANTERA USB 20LM XC-122 PLASTICO COLORES GW</t>
  </si>
  <si>
    <t>LUZ TRASERA USB 40LM EBL-022AT (POLICIA) PLASTICO GW</t>
  </si>
  <si>
    <t>LLANTA SILLA DE RUEDAS O BICICLETA 24 X 1-3/8 H-435 GRIS CHAOYANG</t>
  </si>
  <si>
    <t>NEUMATICO MOLDED 24X1 3/8 D/V TRI-PD(G) 26.5MM CHAOYANG</t>
  </si>
  <si>
    <t>DESVIADOR DELANTERO FD-U4000-L CUES 2X9/10V 36/40T 31.8/34.9</t>
  </si>
  <si>
    <t>GRIPS BMX LOCK ON 140MM GORILA CAUCHO COLORES GW</t>
  </si>
  <si>
    <t>GRIPS BMX LOCK ON 140MM GORILA CAUCHOCOLORES GW</t>
  </si>
  <si>
    <t>LUZ TRASERA USB 15LM T01 (3 MOTIVOS) PLA CIRCULO</t>
  </si>
  <si>
    <t>LUZ TRASERA USB 15LM T01 (3 MOTIVOS) PLA TRIANGULO</t>
  </si>
  <si>
    <t>LUZ TRASERA USB 15LM T02 (2 MOTIVOS) PLA FEDERAL</t>
  </si>
  <si>
    <t>LUZ TRASERA USB 15LM T02 (2 MOTIVOS) PLASTICO GW FEDERAL</t>
  </si>
  <si>
    <t xml:space="preserve">LUZ TRASERA USB 15LM T01 (3 MOTIVOS) PLASTICO GW CIRCULO </t>
  </si>
  <si>
    <t>CADENA 6/7 VEL 1/2X3/32 114L C30 MARRON tec</t>
  </si>
  <si>
    <t>RUEDAS AUXILIARES REFORZADAS PARA BICICL 12</t>
  </si>
  <si>
    <t>RUEDAS AUXILIARES REFORZADAS PARA BICICL 16</t>
  </si>
  <si>
    <t>RUEDAS AUXILIARES REFORZADAS PARA BICICL 20 caucho negro</t>
  </si>
  <si>
    <t>RUEDAS AUXILIARES REFORZADAS PARA BICICL 12rosa</t>
  </si>
  <si>
    <t>RUEDAS AUXILIARES REFORZADAS PARA BICICL 12 morada</t>
  </si>
  <si>
    <t>PEDALES BMX FP-965A ALUMINIO NATURAL FEI 9/16</t>
  </si>
  <si>
    <t>BICICLETA MTB 29 LYNX DEER (82912,82928, 82926)</t>
  </si>
  <si>
    <t>Item</t>
  </si>
  <si>
    <t>COSTO</t>
  </si>
  <si>
    <t>ACEITE</t>
  </si>
  <si>
    <t>ADAPTADOR</t>
  </si>
  <si>
    <t>BALINERA</t>
  </si>
  <si>
    <t>BIELA</t>
  </si>
  <si>
    <t>BOLSO</t>
  </si>
  <si>
    <t>BOMBA</t>
  </si>
  <si>
    <t>BOTELLA</t>
  </si>
  <si>
    <t>CABLE</t>
  </si>
  <si>
    <t>CADENA</t>
  </si>
  <si>
    <t>CANDADO</t>
  </si>
  <si>
    <t>CARAMA</t>
  </si>
  <si>
    <t>CARTUCHO</t>
  </si>
  <si>
    <t>CASCO</t>
  </si>
  <si>
    <t>CASSETTE</t>
  </si>
  <si>
    <t>CIERRE</t>
  </si>
  <si>
    <t>CINTAS</t>
  </si>
  <si>
    <t>COBERTOR</t>
  </si>
  <si>
    <t>CONO</t>
  </si>
  <si>
    <t>DESVIADOR</t>
  </si>
  <si>
    <t>DROPOUT</t>
  </si>
  <si>
    <t>EJE</t>
  </si>
  <si>
    <t>ESPACIADOR</t>
  </si>
  <si>
    <t>ESPUMAS</t>
  </si>
  <si>
    <t>EXTENSION</t>
  </si>
  <si>
    <t>FUNDA</t>
  </si>
  <si>
    <t>GRIPS</t>
  </si>
  <si>
    <t>GUSANILLO</t>
  </si>
  <si>
    <t>MANZANA</t>
  </si>
  <si>
    <t>BIELAS</t>
  </si>
  <si>
    <t>CAMBIOS</t>
  </si>
  <si>
    <t>CENTRO</t>
  </si>
  <si>
    <t>CUBOS</t>
  </si>
  <si>
    <t>DIRECCION</t>
  </si>
  <si>
    <t>FRENO</t>
  </si>
  <si>
    <t>POLEAS</t>
  </si>
  <si>
    <t>TORNILLOS</t>
  </si>
  <si>
    <t>NIPLE</t>
  </si>
  <si>
    <t>POTENCIA</t>
  </si>
  <si>
    <t>MTB 29</t>
  </si>
  <si>
    <t xml:space="preserve">SILLA </t>
  </si>
  <si>
    <t>LLANTAS</t>
  </si>
  <si>
    <t>LLANTAAGUARO XC</t>
  </si>
  <si>
    <t>LLANTAI</t>
  </si>
  <si>
    <t>LLANTA- 5228 FREE</t>
  </si>
  <si>
    <t>LLANTAP</t>
  </si>
  <si>
    <t>LLANTA05 LINEA</t>
  </si>
  <si>
    <t>LLANTA46</t>
  </si>
  <si>
    <t>LLANTA129 VICTORY</t>
  </si>
  <si>
    <t>LLANTAF</t>
  </si>
  <si>
    <t>LLANTA5129</t>
  </si>
  <si>
    <t>LLANTA</t>
  </si>
  <si>
    <t>LLANTA120</t>
  </si>
  <si>
    <t>LLANTA235 PHANTON</t>
  </si>
  <si>
    <t>MANUBRIOALUMINIO</t>
  </si>
  <si>
    <t>NEUMATICO/V TRI-PD(G) 26.5MM</t>
  </si>
  <si>
    <t>PALANCA60S (27.5</t>
  </si>
  <si>
    <t>POSTE ACERO</t>
  </si>
  <si>
    <t>POTENCIAE A 22.2MM</t>
  </si>
  <si>
    <t>POTENCIAMM JB-A</t>
  </si>
  <si>
    <t>POTENCIA50MM</t>
  </si>
  <si>
    <t>RIN</t>
  </si>
  <si>
    <t>RINURAL</t>
  </si>
  <si>
    <t>RIN36H 7X</t>
  </si>
  <si>
    <t>MANUBRIO</t>
  </si>
  <si>
    <t>PARAL</t>
  </si>
  <si>
    <t>PLATO</t>
  </si>
  <si>
    <t>ROTOR</t>
  </si>
  <si>
    <t>SILLIN</t>
  </si>
  <si>
    <t>ZAPATAS</t>
  </si>
  <si>
    <t>NEUMATICO</t>
  </si>
  <si>
    <t>LUZ</t>
  </si>
  <si>
    <t>PALANCAS</t>
  </si>
  <si>
    <t>PASTILLAS</t>
  </si>
  <si>
    <t>PEDALES</t>
  </si>
  <si>
    <t>PORTACABLE</t>
  </si>
  <si>
    <t>PROTECTOR</t>
  </si>
  <si>
    <t>RADIOS</t>
  </si>
  <si>
    <t>RETENEDORES</t>
  </si>
  <si>
    <t>TUERCA</t>
  </si>
  <si>
    <t>TENSIONADOR</t>
  </si>
  <si>
    <t>TORNILLO</t>
  </si>
  <si>
    <t>PARRILLA</t>
  </si>
  <si>
    <t>RUEDA LIBRE</t>
  </si>
  <si>
    <t>RUEDAS AUX</t>
  </si>
  <si>
    <t>SOPORTE BOTELLA</t>
  </si>
  <si>
    <t>SOPORTE PIE</t>
  </si>
  <si>
    <t>TAPA VALVULA</t>
  </si>
  <si>
    <t>TIJA SILLIN</t>
  </si>
  <si>
    <t>TERMINAL FUNDA FRENO</t>
  </si>
  <si>
    <t>TERMINALE FUNDA CAMBIO</t>
  </si>
  <si>
    <t>SKU</t>
  </si>
  <si>
    <t>CATEGORIA</t>
  </si>
  <si>
    <t>BICICLETA</t>
  </si>
  <si>
    <t>BICICLETA INFANTIL NIÑO 16P PILOT 100 GW COLOR ROJO BR - AMARILLO LIMON BR TALLA 16</t>
  </si>
  <si>
    <t>STOCK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</si>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</sst>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165" fontId="0" fillId="0" borderId="0" xfId="5" applyNumberFormat="1" applyFont="1" applyAlignment="1">
      <alignment horizontal="center" vertical="center" wrapText="1"/>
    </xf>
    <xf numFmtId="165" fontId="0" fillId="0" borderId="0" xfId="5" applyNumberFormat="1" applyFont="1" applyAlignment="1">
      <alignment horizontal="center" wrapText="1"/>
    </xf>
    <xf numFmtId="44" fontId="0" fillId="0" borderId="0" xfId="0" applyNumberFormat="1" applyAlignment="1">
      <alignment horizontal="center" wrapText="1"/>
    </xf>
    <xf numFmtId="44" fontId="1" fillId="0" borderId="0" xfId="0" applyNumberFormat="1" applyFont="1" applyAlignment="1">
      <alignment horizontal="center" wrapText="1"/>
    </xf>
    <xf numFmtId="44" fontId="0" fillId="0" borderId="0" xfId="5" applyFont="1" applyFill="1" applyBorder="1" applyAlignment="1">
      <alignment horizontal="center" vertical="top" wrapText="1"/>
    </xf>
    <xf numFmtId="164" fontId="0" fillId="0" borderId="0" xfId="1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5" fontId="6" fillId="0" borderId="2" xfId="5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/>
    </xf>
    <xf numFmtId="165" fontId="5" fillId="0" borderId="2" xfId="5" applyNumberFormat="1" applyFont="1" applyBorder="1" applyAlignment="1">
      <alignment horizontal="center" vertical="center" wrapText="1"/>
    </xf>
    <xf numFmtId="0" fontId="3" fillId="0" borderId="0" xfId="2"/>
    <xf numFmtId="0" fontId="3" fillId="0" borderId="0" xfId="2" applyAlignment="1">
      <alignment wrapText="1"/>
    </xf>
    <xf numFmtId="0" fontId="3" fillId="0" borderId="0" xfId="2" applyAlignment="1">
      <alignment horizontal="left"/>
    </xf>
    <xf numFmtId="165" fontId="3" fillId="0" borderId="0" xfId="5" applyNumberFormat="1" applyFont="1"/>
    <xf numFmtId="0" fontId="9" fillId="0" borderId="1" xfId="0" applyFont="1" applyBorder="1" applyAlignment="1">
      <alignment horizontal="center" vertical="center" wrapText="1"/>
    </xf>
  </cellXfs>
  <cellStyles count="6">
    <cellStyle name="Millares" xfId="1" builtinId="3"/>
    <cellStyle name="Moneda" xfId="5" builtinId="4"/>
    <cellStyle name="Normal" xfId="0" builtinId="0"/>
    <cellStyle name="Normal 2" xfId="2" xr:uid="{72AFA1A8-5E5B-4A82-8A2B-4EF6EA5D79F0}"/>
    <cellStyle name="Normal 3" xfId="3" xr:uid="{83DDF423-6813-4C69-A4C7-65D0D7095483}"/>
    <cellStyle name="Normal 3 2" xfId="4" xr:uid="{23CE6071-A842-45AD-A8F4-BDDCE12A3058}"/>
  </cellStyles>
  <dxfs count="5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wrapText="1" indent="0" justifyLastLine="0" readingOrder="0"/>
    </dxf>
  </dxfs>
  <tableStyles count="1" defaultTableStyle="TableStyleMedium2" defaultPivotStyle="PivotStyleMedium9">
    <tableStyle name="Invisible" pivot="0" table="0" count="0" xr9:uid="{9281807B-3C63-40EC-8E39-97296F22E95D}"/>
  </tableStyles>
  <colors>
    <mruColors>
      <color rgb="FFFFCCFF"/>
      <color rgb="FFF692E3"/>
      <color rgb="FF71527E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83A46-ADC6-4777-B77D-D3B80E26AE01}" name="Tabla1" displayName="Tabla1" ref="A2:G480" totalsRowShown="0" headerRowDxfId="4" headerRowBorderDxfId="3" tableBorderDxfId="2" dataCellStyle="Normal 2">
  <autoFilter ref="A2:G480" xr:uid="{A7083A46-ADC6-4777-B77D-D3B80E26AE01}"/>
  <sortState xmlns:xlrd2="http://schemas.microsoft.com/office/spreadsheetml/2017/richdata2" ref="A3:G480">
    <sortCondition ref="B2:B480"/>
  </sortState>
  <tableColumns count="7">
    <tableColumn id="1" xr3:uid="{DEE7DB62-D239-4EDF-9491-2D043AD5601D}" name="Item" dataCellStyle="Normal 2"/>
    <tableColumn id="3" xr3:uid="{4B03A3ED-0701-41EB-91D1-A2A45930D296}" name="NOMBRE" dataCellStyle="Normal 2"/>
    <tableColumn id="4" xr3:uid="{37810FB0-881F-49A9-9720-B36FBD379CB8}" name="SKU" dataCellStyle="Normal 2"/>
    <tableColumn id="6" xr3:uid="{FADD2A3A-7E32-4DE3-9A9C-F66BE0366AF1}" name="CATEGORIA" dataCellStyle="Normal 2"/>
    <tableColumn id="5" xr3:uid="{5A696CE2-9AE1-45F3-8759-7569D594CCBC}" name="COSTO" dataDxfId="1" dataCellStyle="Moneda"/>
    <tableColumn id="18" xr3:uid="{8B77050C-EBC8-406A-AA2D-1173E21106DA}" name="PRECIO" dataDxfId="0" dataCellStyle="Moneda"/>
    <tableColumn id="19" xr3:uid="{02D5A569-45D1-42E0-AD76-819EF5D38A3C}" name="STOCK" dataCellStyle="Normal 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9752-3A6A-47A0-B3D0-1A705EF17146}">
  <dimension ref="A1:EF480"/>
  <sheetViews>
    <sheetView tabSelected="1" zoomScale="98" zoomScaleNormal="98" workbookViewId="0">
      <selection activeCell="D2" sqref="D2"/>
    </sheetView>
  </sheetViews>
  <sheetFormatPr baseColWidth="10" defaultRowHeight="15" x14ac:dyDescent="0.25"/>
  <cols>
    <col min="1" max="1" width="6.85546875" style="2" customWidth="1"/>
    <col min="2" max="2" width="43" style="10" customWidth="1"/>
    <col min="3" max="3" width="14.140625" style="2" customWidth="1"/>
    <col min="4" max="4" width="14.140625" style="8" customWidth="1"/>
    <col min="5" max="5" width="13.42578125" style="12" customWidth="1"/>
    <col min="6" max="6" width="12.85546875" style="12" bestFit="1" customWidth="1"/>
    <col min="7" max="7" width="11.28515625" style="16" bestFit="1" customWidth="1"/>
    <col min="8" max="8" width="17.7109375" style="2" bestFit="1" customWidth="1"/>
    <col min="9" max="16384" width="11.42578125" style="2"/>
  </cols>
  <sheetData>
    <row r="1" spans="1:7" ht="15.75" thickBot="1" x14ac:dyDescent="0.3">
      <c r="A1" s="1"/>
      <c r="B1" s="9"/>
      <c r="C1" s="1"/>
      <c r="D1" s="7"/>
      <c r="E1" s="11"/>
    </row>
    <row r="2" spans="1:7" ht="38.25" customHeight="1" thickBot="1" x14ac:dyDescent="0.3">
      <c r="A2" s="17" t="s">
        <v>814</v>
      </c>
      <c r="B2" s="27" t="s">
        <v>911</v>
      </c>
      <c r="C2" s="18" t="s">
        <v>906</v>
      </c>
      <c r="D2" s="19" t="s">
        <v>907</v>
      </c>
      <c r="E2" s="20" t="s">
        <v>815</v>
      </c>
      <c r="F2" s="22" t="s">
        <v>0</v>
      </c>
      <c r="G2" s="21" t="s">
        <v>910</v>
      </c>
    </row>
    <row r="3" spans="1:7" ht="12" customHeight="1" x14ac:dyDescent="0.25">
      <c r="A3" s="23">
        <v>1</v>
      </c>
      <c r="B3" s="23" t="s">
        <v>38</v>
      </c>
      <c r="C3" s="23" t="s">
        <v>37</v>
      </c>
      <c r="D3" s="23" t="s">
        <v>816</v>
      </c>
      <c r="E3" s="26">
        <v>46500</v>
      </c>
      <c r="F3" s="26">
        <f>Tabla1[[#This Row],[COSTO]]*(1+45%)</f>
        <v>67425</v>
      </c>
      <c r="G3" s="23">
        <v>1</v>
      </c>
    </row>
    <row r="4" spans="1:7" x14ac:dyDescent="0.25">
      <c r="A4" s="23">
        <v>2</v>
      </c>
      <c r="B4" s="23" t="s">
        <v>40</v>
      </c>
      <c r="C4" s="23" t="s">
        <v>39</v>
      </c>
      <c r="D4" s="23" t="s">
        <v>816</v>
      </c>
      <c r="E4" s="26">
        <v>53500</v>
      </c>
      <c r="F4" s="26">
        <f>Tabla1[[#This Row],[COSTO]]*(1+45%)</f>
        <v>77575</v>
      </c>
      <c r="G4" s="23">
        <v>1</v>
      </c>
    </row>
    <row r="5" spans="1:7" x14ac:dyDescent="0.25">
      <c r="A5" s="23">
        <v>3</v>
      </c>
      <c r="B5" s="23" t="s">
        <v>778</v>
      </c>
      <c r="C5" s="23" t="s">
        <v>777</v>
      </c>
      <c r="D5" s="23" t="s">
        <v>816</v>
      </c>
      <c r="E5" s="26">
        <v>83500</v>
      </c>
      <c r="F5" s="26">
        <f>Tabla1[[#This Row],[COSTO]]*(1+45%)</f>
        <v>121075</v>
      </c>
      <c r="G5" s="23">
        <v>1</v>
      </c>
    </row>
    <row r="6" spans="1:7" x14ac:dyDescent="0.25">
      <c r="A6" s="23">
        <v>4</v>
      </c>
      <c r="B6" s="23" t="s">
        <v>42</v>
      </c>
      <c r="C6" s="23" t="s">
        <v>41</v>
      </c>
      <c r="D6" s="23" t="s">
        <v>816</v>
      </c>
      <c r="E6" s="26">
        <v>103500</v>
      </c>
      <c r="F6" s="26">
        <f>Tabla1[[#This Row],[COSTO]]*(1+45%)</f>
        <v>150075</v>
      </c>
      <c r="G6" s="23">
        <v>1</v>
      </c>
    </row>
    <row r="7" spans="1:7" x14ac:dyDescent="0.25">
      <c r="A7" s="23">
        <v>5</v>
      </c>
      <c r="B7" s="23" t="s">
        <v>44</v>
      </c>
      <c r="C7" s="23" t="s">
        <v>43</v>
      </c>
      <c r="D7" s="23" t="s">
        <v>817</v>
      </c>
      <c r="E7" s="26">
        <v>130</v>
      </c>
      <c r="F7" s="26">
        <f>Tabla1[[#This Row],[COSTO]]*(1+45%)</f>
        <v>188.5</v>
      </c>
      <c r="G7" s="23">
        <v>0</v>
      </c>
    </row>
    <row r="8" spans="1:7" x14ac:dyDescent="0.25">
      <c r="A8" s="23">
        <v>6</v>
      </c>
      <c r="B8" s="23" t="s">
        <v>46</v>
      </c>
      <c r="C8" s="23" t="s">
        <v>45</v>
      </c>
      <c r="D8" s="23" t="s">
        <v>817</v>
      </c>
      <c r="E8" s="26">
        <v>25900</v>
      </c>
      <c r="F8" s="26">
        <f>Tabla1[[#This Row],[COSTO]]*(1+45%)</f>
        <v>37555</v>
      </c>
      <c r="G8" s="23">
        <v>1</v>
      </c>
    </row>
    <row r="9" spans="1:7" x14ac:dyDescent="0.25">
      <c r="A9" s="23">
        <v>7</v>
      </c>
      <c r="B9" s="23" t="s">
        <v>46</v>
      </c>
      <c r="C9" s="23" t="s">
        <v>47</v>
      </c>
      <c r="D9" s="23" t="s">
        <v>817</v>
      </c>
      <c r="E9" s="26">
        <v>25900</v>
      </c>
      <c r="F9" s="26">
        <f>Tabla1[[#This Row],[COSTO]]*(1+45%)</f>
        <v>37555</v>
      </c>
      <c r="G9" s="23">
        <v>1</v>
      </c>
    </row>
    <row r="10" spans="1:7" ht="14.25" customHeight="1" x14ac:dyDescent="0.25">
      <c r="A10" s="23">
        <v>8</v>
      </c>
      <c r="B10" s="23" t="s">
        <v>49</v>
      </c>
      <c r="C10" s="23" t="s">
        <v>48</v>
      </c>
      <c r="D10" s="23" t="s">
        <v>818</v>
      </c>
      <c r="E10" s="26">
        <v>1950</v>
      </c>
      <c r="F10" s="26">
        <f>Tabla1[[#This Row],[COSTO]]*(1+45%)</f>
        <v>2827.5</v>
      </c>
      <c r="G10" s="23">
        <v>50</v>
      </c>
    </row>
    <row r="11" spans="1:7" x14ac:dyDescent="0.25">
      <c r="A11" s="23">
        <v>9</v>
      </c>
      <c r="B11" s="23" t="s">
        <v>51</v>
      </c>
      <c r="C11" s="23" t="s">
        <v>50</v>
      </c>
      <c r="D11" s="23" t="s">
        <v>818</v>
      </c>
      <c r="E11" s="26">
        <v>1120</v>
      </c>
      <c r="F11" s="26">
        <f>Tabla1[[#This Row],[COSTO]]*(1+45%)</f>
        <v>1624</v>
      </c>
      <c r="G11" s="23">
        <v>20</v>
      </c>
    </row>
    <row r="12" spans="1:7" x14ac:dyDescent="0.25">
      <c r="A12" s="23">
        <v>10</v>
      </c>
      <c r="B12" s="23" t="s">
        <v>53</v>
      </c>
      <c r="C12" s="23" t="s">
        <v>52</v>
      </c>
      <c r="D12" s="23" t="s">
        <v>818</v>
      </c>
      <c r="E12" s="26">
        <v>1350</v>
      </c>
      <c r="F12" s="26">
        <f>Tabla1[[#This Row],[COSTO]]*(1+45%)</f>
        <v>1957.5</v>
      </c>
      <c r="G12" s="23">
        <v>20</v>
      </c>
    </row>
    <row r="13" spans="1:7" x14ac:dyDescent="0.25">
      <c r="A13" s="23">
        <v>11</v>
      </c>
      <c r="B13" s="23" t="s">
        <v>909</v>
      </c>
      <c r="C13" s="25">
        <v>60330</v>
      </c>
      <c r="D13" s="23" t="s">
        <v>908</v>
      </c>
      <c r="E13" s="26">
        <v>249000</v>
      </c>
      <c r="F13" s="26">
        <f>Tabla1[[#This Row],[COSTO]]*(1+45%)</f>
        <v>361050</v>
      </c>
      <c r="G13" s="23">
        <v>0</v>
      </c>
    </row>
    <row r="14" spans="1:7" x14ac:dyDescent="0.25">
      <c r="A14" s="23">
        <v>12</v>
      </c>
      <c r="B14" s="23" t="s">
        <v>7</v>
      </c>
      <c r="C14" s="25">
        <v>60582</v>
      </c>
      <c r="D14" s="23" t="s">
        <v>908</v>
      </c>
      <c r="E14" s="26">
        <v>162500</v>
      </c>
      <c r="F14" s="26">
        <f>Tabla1[[#This Row],[COSTO]]*(1+45%)</f>
        <v>235625</v>
      </c>
      <c r="G14" s="23">
        <v>2</v>
      </c>
    </row>
    <row r="15" spans="1:7" ht="18" customHeight="1" x14ac:dyDescent="0.25">
      <c r="A15" s="23">
        <v>13</v>
      </c>
      <c r="B15" s="23" t="s">
        <v>13</v>
      </c>
      <c r="C15" s="25">
        <v>60398</v>
      </c>
      <c r="D15" s="23" t="s">
        <v>908</v>
      </c>
      <c r="E15" s="26">
        <v>219000</v>
      </c>
      <c r="F15" s="26">
        <f>Tabla1[[#This Row],[COSTO]]*(1+45%)</f>
        <v>317550</v>
      </c>
      <c r="G15" s="23">
        <v>1</v>
      </c>
    </row>
    <row r="16" spans="1:7" x14ac:dyDescent="0.25">
      <c r="A16" s="23">
        <v>14</v>
      </c>
      <c r="B16" s="23" t="s">
        <v>20</v>
      </c>
      <c r="C16" s="25">
        <v>60375</v>
      </c>
      <c r="D16" s="23" t="s">
        <v>908</v>
      </c>
      <c r="E16" s="26">
        <v>249000</v>
      </c>
      <c r="F16" s="26">
        <f>Tabla1[[#This Row],[COSTO]]*(1+45%)</f>
        <v>361050</v>
      </c>
      <c r="G16" s="23">
        <v>2</v>
      </c>
    </row>
    <row r="17" spans="1:7" x14ac:dyDescent="0.25">
      <c r="A17" s="23">
        <v>15</v>
      </c>
      <c r="B17" s="23" t="s">
        <v>23</v>
      </c>
      <c r="C17" s="25">
        <v>60375</v>
      </c>
      <c r="D17" s="23" t="s">
        <v>908</v>
      </c>
      <c r="E17" s="26">
        <v>249000</v>
      </c>
      <c r="F17" s="26">
        <f>Tabla1[[#This Row],[COSTO]]*(1+45%)</f>
        <v>361050</v>
      </c>
      <c r="G17" s="23">
        <v>0</v>
      </c>
    </row>
    <row r="18" spans="1:7" x14ac:dyDescent="0.25">
      <c r="A18" s="23">
        <v>16</v>
      </c>
      <c r="B18" s="23" t="s">
        <v>25</v>
      </c>
      <c r="C18" s="25">
        <v>60326</v>
      </c>
      <c r="D18" s="23" t="s">
        <v>908</v>
      </c>
      <c r="E18" s="26">
        <v>265000</v>
      </c>
      <c r="F18" s="26">
        <f>Tabla1[[#This Row],[COSTO]]*(1+45%)</f>
        <v>384250</v>
      </c>
      <c r="G18" s="23">
        <v>1</v>
      </c>
    </row>
    <row r="19" spans="1:7" x14ac:dyDescent="0.25">
      <c r="A19" s="23">
        <v>17</v>
      </c>
      <c r="B19" s="23" t="s">
        <v>24</v>
      </c>
      <c r="C19" s="25">
        <v>60326</v>
      </c>
      <c r="D19" s="23" t="s">
        <v>908</v>
      </c>
      <c r="E19" s="26">
        <v>265000</v>
      </c>
      <c r="F19" s="26">
        <f>Tabla1[[#This Row],[COSTO]]*(1+45%)</f>
        <v>384250</v>
      </c>
      <c r="G19" s="23">
        <v>0</v>
      </c>
    </row>
    <row r="20" spans="1:7" x14ac:dyDescent="0.25">
      <c r="A20" s="23">
        <v>18</v>
      </c>
      <c r="B20" s="23" t="s">
        <v>14</v>
      </c>
      <c r="C20" s="25">
        <v>60398</v>
      </c>
      <c r="D20" s="23" t="s">
        <v>908</v>
      </c>
      <c r="E20" s="26">
        <v>235000</v>
      </c>
      <c r="F20" s="26">
        <f>Tabla1[[#This Row],[COSTO]]*(1+45%)</f>
        <v>340750</v>
      </c>
      <c r="G20" s="23">
        <v>0</v>
      </c>
    </row>
    <row r="21" spans="1:7" x14ac:dyDescent="0.25">
      <c r="A21" s="23">
        <v>19</v>
      </c>
      <c r="B21" s="23" t="s">
        <v>28</v>
      </c>
      <c r="C21" s="25">
        <v>60376</v>
      </c>
      <c r="D21" s="23" t="s">
        <v>908</v>
      </c>
      <c r="E21" s="26">
        <v>275000</v>
      </c>
      <c r="F21" s="26">
        <f>Tabla1[[#This Row],[COSTO]]*(1+45%)</f>
        <v>398750</v>
      </c>
      <c r="G21" s="23">
        <v>1</v>
      </c>
    </row>
    <row r="22" spans="1:7" x14ac:dyDescent="0.25">
      <c r="A22" s="23">
        <v>20</v>
      </c>
      <c r="B22" s="23" t="s">
        <v>3</v>
      </c>
      <c r="C22" s="25">
        <v>60330</v>
      </c>
      <c r="D22" s="23" t="s">
        <v>908</v>
      </c>
      <c r="E22" s="26">
        <v>249000</v>
      </c>
      <c r="F22" s="26">
        <f>Tabla1[[#This Row],[COSTO]]*(1+45%)</f>
        <v>361050</v>
      </c>
      <c r="G22" s="23">
        <v>0</v>
      </c>
    </row>
    <row r="23" spans="1:7" x14ac:dyDescent="0.25">
      <c r="A23" s="23">
        <v>21</v>
      </c>
      <c r="B23" s="23" t="s">
        <v>33</v>
      </c>
      <c r="C23" s="25">
        <v>60377</v>
      </c>
      <c r="D23" s="23" t="s">
        <v>908</v>
      </c>
      <c r="E23" s="26">
        <v>299000</v>
      </c>
      <c r="F23" s="26">
        <f>Tabla1[[#This Row],[COSTO]]*(1+45%)</f>
        <v>433550</v>
      </c>
      <c r="G23" s="23">
        <v>0</v>
      </c>
    </row>
    <row r="24" spans="1:7" x14ac:dyDescent="0.25">
      <c r="A24" s="23">
        <v>22</v>
      </c>
      <c r="B24" s="23" t="s">
        <v>11</v>
      </c>
      <c r="C24" s="25">
        <v>60395</v>
      </c>
      <c r="D24" s="23" t="s">
        <v>908</v>
      </c>
      <c r="E24" s="26">
        <v>265000</v>
      </c>
      <c r="F24" s="26">
        <f>Tabla1[[#This Row],[COSTO]]*(1+45%)</f>
        <v>384250</v>
      </c>
      <c r="G24" s="23">
        <v>0</v>
      </c>
    </row>
    <row r="25" spans="1:7" x14ac:dyDescent="0.25">
      <c r="A25" s="23">
        <v>23</v>
      </c>
      <c r="B25" s="23" t="s">
        <v>31</v>
      </c>
      <c r="C25" s="25">
        <v>60783</v>
      </c>
      <c r="D25" s="23" t="s">
        <v>908</v>
      </c>
      <c r="E25" s="26">
        <v>259000</v>
      </c>
      <c r="F25" s="26">
        <f>Tabla1[[#This Row],[COSTO]]*(1+45%)</f>
        <v>375550</v>
      </c>
      <c r="G25" s="23">
        <v>0</v>
      </c>
    </row>
    <row r="26" spans="1:7" x14ac:dyDescent="0.25">
      <c r="A26" s="23">
        <v>24</v>
      </c>
      <c r="B26" s="23" t="s">
        <v>4</v>
      </c>
      <c r="C26" s="25">
        <v>60331</v>
      </c>
      <c r="D26" s="23" t="s">
        <v>908</v>
      </c>
      <c r="E26" s="26">
        <v>269000</v>
      </c>
      <c r="F26" s="26">
        <f>Tabla1[[#This Row],[COSTO]]*(1+45%)</f>
        <v>390050</v>
      </c>
      <c r="G26" s="23">
        <v>0</v>
      </c>
    </row>
    <row r="27" spans="1:7" x14ac:dyDescent="0.25">
      <c r="A27" s="23">
        <v>25</v>
      </c>
      <c r="B27" s="23" t="s">
        <v>9</v>
      </c>
      <c r="C27" s="25">
        <v>60393</v>
      </c>
      <c r="D27" s="23" t="s">
        <v>908</v>
      </c>
      <c r="E27" s="26">
        <v>215000</v>
      </c>
      <c r="F27" s="26">
        <f>Tabla1[[#This Row],[COSTO]]*(1+45%)</f>
        <v>311750</v>
      </c>
      <c r="G27" s="23">
        <v>1</v>
      </c>
    </row>
    <row r="28" spans="1:7" x14ac:dyDescent="0.25">
      <c r="A28" s="23">
        <v>26</v>
      </c>
      <c r="B28" s="23" t="s">
        <v>29</v>
      </c>
      <c r="C28" s="25">
        <v>60514</v>
      </c>
      <c r="D28" s="23" t="s">
        <v>908</v>
      </c>
      <c r="E28" s="26">
        <v>205000</v>
      </c>
      <c r="F28" s="26">
        <f>Tabla1[[#This Row],[COSTO]]*(1+45%)</f>
        <v>297250</v>
      </c>
      <c r="G28" s="23">
        <v>1</v>
      </c>
    </row>
    <row r="29" spans="1:7" x14ac:dyDescent="0.25">
      <c r="A29" s="23">
        <v>27</v>
      </c>
      <c r="B29" s="23" t="s">
        <v>22</v>
      </c>
      <c r="C29" s="25">
        <v>60514</v>
      </c>
      <c r="D29" s="23" t="s">
        <v>908</v>
      </c>
      <c r="E29" s="26">
        <v>205000</v>
      </c>
      <c r="F29" s="26">
        <f>Tabla1[[#This Row],[COSTO]]*(1+45%)</f>
        <v>297250</v>
      </c>
      <c r="G29" s="23">
        <v>1</v>
      </c>
    </row>
    <row r="30" spans="1:7" x14ac:dyDescent="0.25">
      <c r="A30" s="23">
        <v>28</v>
      </c>
      <c r="B30" s="23" t="s">
        <v>21</v>
      </c>
      <c r="C30" s="25">
        <v>60795</v>
      </c>
      <c r="D30" s="23" t="s">
        <v>908</v>
      </c>
      <c r="E30" s="26">
        <v>199000</v>
      </c>
      <c r="F30" s="26">
        <f>Tabla1[[#This Row],[COSTO]]*(1+45%)</f>
        <v>288550</v>
      </c>
      <c r="G30" s="23">
        <v>1</v>
      </c>
    </row>
    <row r="31" spans="1:7" x14ac:dyDescent="0.25">
      <c r="A31" s="23">
        <v>29</v>
      </c>
      <c r="B31" s="23" t="s">
        <v>10</v>
      </c>
      <c r="C31" s="25">
        <v>60394</v>
      </c>
      <c r="D31" s="23" t="s">
        <v>908</v>
      </c>
      <c r="E31" s="26">
        <v>235000</v>
      </c>
      <c r="F31" s="26">
        <f>Tabla1[[#This Row],[COSTO]]*(1+45%)</f>
        <v>340750</v>
      </c>
      <c r="G31" s="23">
        <v>1</v>
      </c>
    </row>
    <row r="32" spans="1:7" x14ac:dyDescent="0.25">
      <c r="A32" s="23">
        <v>30</v>
      </c>
      <c r="B32" s="23" t="s">
        <v>6</v>
      </c>
      <c r="C32" s="25">
        <v>60365</v>
      </c>
      <c r="D32" s="23" t="s">
        <v>908</v>
      </c>
      <c r="E32" s="26">
        <v>239000</v>
      </c>
      <c r="F32" s="26">
        <f>Tabla1[[#This Row],[COSTO]]*(1+45%)</f>
        <v>346550</v>
      </c>
      <c r="G32" s="23">
        <v>0</v>
      </c>
    </row>
    <row r="33" spans="1:7" x14ac:dyDescent="0.25">
      <c r="A33" s="23">
        <v>31</v>
      </c>
      <c r="B33" s="23" t="s">
        <v>15</v>
      </c>
      <c r="C33" s="25">
        <v>60515</v>
      </c>
      <c r="D33" s="23" t="s">
        <v>908</v>
      </c>
      <c r="E33" s="26">
        <v>235000</v>
      </c>
      <c r="F33" s="26">
        <f>Tabla1[[#This Row],[COSTO]]*(1+45%)</f>
        <v>340750</v>
      </c>
      <c r="G33" s="23">
        <v>0</v>
      </c>
    </row>
    <row r="34" spans="1:7" x14ac:dyDescent="0.25">
      <c r="A34" s="23">
        <v>32</v>
      </c>
      <c r="B34" s="23" t="s">
        <v>26</v>
      </c>
      <c r="C34" s="25">
        <v>60793</v>
      </c>
      <c r="D34" s="23" t="s">
        <v>908</v>
      </c>
      <c r="E34" s="26">
        <v>229000</v>
      </c>
      <c r="F34" s="26">
        <f>Tabla1[[#This Row],[COSTO]]*(1+45%)</f>
        <v>332050</v>
      </c>
      <c r="G34" s="23">
        <v>0</v>
      </c>
    </row>
    <row r="35" spans="1:7" x14ac:dyDescent="0.25">
      <c r="A35" s="23">
        <v>33</v>
      </c>
      <c r="B35" s="23" t="s">
        <v>27</v>
      </c>
      <c r="C35" s="25">
        <v>60354</v>
      </c>
      <c r="D35" s="23" t="s">
        <v>908</v>
      </c>
      <c r="E35" s="26">
        <v>245000</v>
      </c>
      <c r="F35" s="26">
        <f>Tabla1[[#This Row],[COSTO]]*(1+45%)</f>
        <v>355250</v>
      </c>
      <c r="G35" s="23">
        <v>1</v>
      </c>
    </row>
    <row r="36" spans="1:7" x14ac:dyDescent="0.25">
      <c r="A36" s="23">
        <v>34</v>
      </c>
      <c r="B36" s="23" t="s">
        <v>12</v>
      </c>
      <c r="C36" s="25">
        <v>60395</v>
      </c>
      <c r="D36" s="23" t="s">
        <v>908</v>
      </c>
      <c r="E36" s="26">
        <v>265000</v>
      </c>
      <c r="F36" s="26">
        <f>Tabla1[[#This Row],[COSTO]]*(1+45%)</f>
        <v>384250</v>
      </c>
      <c r="G36" s="23">
        <v>0</v>
      </c>
    </row>
    <row r="37" spans="1:7" x14ac:dyDescent="0.25">
      <c r="A37" s="23">
        <v>35</v>
      </c>
      <c r="B37" s="23" t="s">
        <v>8</v>
      </c>
      <c r="C37" s="25">
        <v>60383</v>
      </c>
      <c r="D37" s="23" t="s">
        <v>908</v>
      </c>
      <c r="E37" s="26">
        <v>255000</v>
      </c>
      <c r="F37" s="26">
        <f>Tabla1[[#This Row],[COSTO]]*(1+45%)</f>
        <v>369750</v>
      </c>
      <c r="G37" s="23">
        <v>0</v>
      </c>
    </row>
    <row r="38" spans="1:7" x14ac:dyDescent="0.25">
      <c r="A38" s="23">
        <v>36</v>
      </c>
      <c r="B38" s="23" t="s">
        <v>5</v>
      </c>
      <c r="C38" s="25">
        <v>60331</v>
      </c>
      <c r="D38" s="23" t="s">
        <v>908</v>
      </c>
      <c r="E38" s="26">
        <v>269000</v>
      </c>
      <c r="F38" s="26">
        <f>Tabla1[[#This Row],[COSTO]]*(1+45%)</f>
        <v>390050</v>
      </c>
      <c r="G38" s="23">
        <v>0</v>
      </c>
    </row>
    <row r="39" spans="1:7" ht="13.5" customHeight="1" x14ac:dyDescent="0.25">
      <c r="A39" s="23">
        <v>37</v>
      </c>
      <c r="B39" s="24" t="s">
        <v>32</v>
      </c>
      <c r="C39" s="25">
        <v>60802</v>
      </c>
      <c r="D39" s="23" t="s">
        <v>908</v>
      </c>
      <c r="E39" s="26">
        <v>339000</v>
      </c>
      <c r="F39" s="26">
        <f>Tabla1[[#This Row],[COSTO]]*(1+45%)</f>
        <v>491550</v>
      </c>
      <c r="G39" s="23">
        <v>0</v>
      </c>
    </row>
    <row r="40" spans="1:7" x14ac:dyDescent="0.25">
      <c r="A40" s="23">
        <v>38</v>
      </c>
      <c r="B40" s="23" t="s">
        <v>36</v>
      </c>
      <c r="C40" s="25">
        <v>60802</v>
      </c>
      <c r="D40" s="23" t="s">
        <v>908</v>
      </c>
      <c r="E40" s="26">
        <v>339000</v>
      </c>
      <c r="F40" s="26">
        <f>Tabla1[[#This Row],[COSTO]]*(1+45%)</f>
        <v>491550</v>
      </c>
      <c r="G40" s="23">
        <v>0</v>
      </c>
    </row>
    <row r="41" spans="1:7" x14ac:dyDescent="0.25">
      <c r="A41" s="23">
        <v>39</v>
      </c>
      <c r="B41" s="23" t="s">
        <v>35</v>
      </c>
      <c r="C41" s="25">
        <v>60803</v>
      </c>
      <c r="D41" s="23" t="s">
        <v>908</v>
      </c>
      <c r="E41" s="26">
        <v>359000</v>
      </c>
      <c r="F41" s="26">
        <f>Tabla1[[#This Row],[COSTO]]*(1+45%)</f>
        <v>520550</v>
      </c>
      <c r="G41" s="23">
        <v>0</v>
      </c>
    </row>
    <row r="42" spans="1:7" x14ac:dyDescent="0.25">
      <c r="A42" s="23">
        <v>40</v>
      </c>
      <c r="B42" s="23" t="s">
        <v>34</v>
      </c>
      <c r="C42" s="25">
        <v>60803</v>
      </c>
      <c r="D42" s="23" t="s">
        <v>908</v>
      </c>
      <c r="E42" s="26">
        <v>359000</v>
      </c>
      <c r="F42" s="26">
        <f>Tabla1[[#This Row],[COSTO]]*(1+45%)</f>
        <v>520550</v>
      </c>
      <c r="G42" s="23">
        <v>0</v>
      </c>
    </row>
    <row r="43" spans="1:7" x14ac:dyDescent="0.25">
      <c r="A43" s="23">
        <v>41</v>
      </c>
      <c r="B43" s="23" t="s">
        <v>16</v>
      </c>
      <c r="C43" s="25">
        <v>60722</v>
      </c>
      <c r="D43" s="23" t="s">
        <v>908</v>
      </c>
      <c r="E43" s="26">
        <v>321000</v>
      </c>
      <c r="F43" s="26">
        <f>Tabla1[[#This Row],[COSTO]]*(1+45%)</f>
        <v>465450</v>
      </c>
      <c r="G43" s="23">
        <v>0</v>
      </c>
    </row>
    <row r="44" spans="1:7" x14ac:dyDescent="0.25">
      <c r="A44" s="23">
        <v>42</v>
      </c>
      <c r="B44" s="23" t="s">
        <v>813</v>
      </c>
      <c r="C44" s="25">
        <v>60770</v>
      </c>
      <c r="D44" s="23" t="s">
        <v>908</v>
      </c>
      <c r="E44" s="26">
        <v>579000</v>
      </c>
      <c r="F44" s="26">
        <f>Tabla1[[#This Row],[COSTO]]*(1+45%)</f>
        <v>839550</v>
      </c>
      <c r="G44" s="23">
        <v>1</v>
      </c>
    </row>
    <row r="45" spans="1:7" x14ac:dyDescent="0.25">
      <c r="A45" s="23">
        <v>43</v>
      </c>
      <c r="B45" s="23" t="s">
        <v>17</v>
      </c>
      <c r="C45" s="25">
        <v>60731</v>
      </c>
      <c r="D45" s="23" t="s">
        <v>908</v>
      </c>
      <c r="E45" s="26">
        <v>549000</v>
      </c>
      <c r="F45" s="26">
        <f>Tabla1[[#This Row],[COSTO]]*(1+45%)</f>
        <v>796050</v>
      </c>
      <c r="G45" s="23">
        <v>0</v>
      </c>
    </row>
    <row r="46" spans="1:7" x14ac:dyDescent="0.25">
      <c r="A46" s="23">
        <v>44</v>
      </c>
      <c r="B46" s="23" t="s">
        <v>30</v>
      </c>
      <c r="C46" s="25">
        <v>60731</v>
      </c>
      <c r="D46" s="23" t="s">
        <v>908</v>
      </c>
      <c r="E46" s="26">
        <v>549000</v>
      </c>
      <c r="F46" s="26">
        <f>Tabla1[[#This Row],[COSTO]]*(1+45%)</f>
        <v>796050</v>
      </c>
      <c r="G46" s="23">
        <v>0</v>
      </c>
    </row>
    <row r="47" spans="1:7" x14ac:dyDescent="0.25">
      <c r="A47" s="23">
        <v>45</v>
      </c>
      <c r="B47" s="23" t="s">
        <v>18</v>
      </c>
      <c r="C47" s="25">
        <v>60737</v>
      </c>
      <c r="D47" s="23" t="s">
        <v>908</v>
      </c>
      <c r="E47" s="26">
        <v>490000</v>
      </c>
      <c r="F47" s="26">
        <f>Tabla1[[#This Row],[COSTO]]*(1+45%)</f>
        <v>710500</v>
      </c>
      <c r="G47" s="23">
        <v>1</v>
      </c>
    </row>
    <row r="48" spans="1:7" x14ac:dyDescent="0.25">
      <c r="A48" s="23">
        <v>46</v>
      </c>
      <c r="B48" s="23" t="s">
        <v>55</v>
      </c>
      <c r="C48" s="23" t="s">
        <v>54</v>
      </c>
      <c r="D48" s="23" t="s">
        <v>819</v>
      </c>
      <c r="E48" s="26">
        <v>6150</v>
      </c>
      <c r="F48" s="26">
        <f>Tabla1[[#This Row],[COSTO]]*(1+45%)</f>
        <v>8917.5</v>
      </c>
      <c r="G48" s="23">
        <v>4</v>
      </c>
    </row>
    <row r="49" spans="1:7" x14ac:dyDescent="0.25">
      <c r="A49" s="23">
        <v>47</v>
      </c>
      <c r="B49" s="23" t="s">
        <v>57</v>
      </c>
      <c r="C49" s="23" t="s">
        <v>56</v>
      </c>
      <c r="D49" s="23" t="s">
        <v>819</v>
      </c>
      <c r="E49" s="26">
        <v>10300</v>
      </c>
      <c r="F49" s="26">
        <f>Tabla1[[#This Row],[COSTO]]*(1+45%)</f>
        <v>14935</v>
      </c>
      <c r="G49" s="23">
        <v>4</v>
      </c>
    </row>
    <row r="50" spans="1:7" x14ac:dyDescent="0.25">
      <c r="A50" s="23">
        <v>48</v>
      </c>
      <c r="B50" s="23" t="s">
        <v>59</v>
      </c>
      <c r="C50" s="23" t="s">
        <v>58</v>
      </c>
      <c r="D50" s="23" t="s">
        <v>819</v>
      </c>
      <c r="E50" s="26">
        <v>3550</v>
      </c>
      <c r="F50" s="26">
        <f>Tabla1[[#This Row],[COSTO]]*(1+45%)</f>
        <v>5147.5</v>
      </c>
      <c r="G50" s="23">
        <v>3</v>
      </c>
    </row>
    <row r="51" spans="1:7" x14ac:dyDescent="0.25">
      <c r="A51" s="23">
        <v>49</v>
      </c>
      <c r="B51" s="23" t="s">
        <v>61</v>
      </c>
      <c r="C51" s="23" t="s">
        <v>60</v>
      </c>
      <c r="D51" s="23" t="s">
        <v>820</v>
      </c>
      <c r="E51" s="26">
        <v>22500</v>
      </c>
      <c r="F51" s="26">
        <f>Tabla1[[#This Row],[COSTO]]*(1+45%)</f>
        <v>32625</v>
      </c>
      <c r="G51" s="23">
        <v>4</v>
      </c>
    </row>
    <row r="52" spans="1:7" x14ac:dyDescent="0.25">
      <c r="A52" s="23">
        <v>50</v>
      </c>
      <c r="B52" s="23" t="s">
        <v>63</v>
      </c>
      <c r="C52" s="23" t="s">
        <v>62</v>
      </c>
      <c r="D52" s="23" t="s">
        <v>820</v>
      </c>
      <c r="E52" s="26">
        <v>25200</v>
      </c>
      <c r="F52" s="26">
        <f>Tabla1[[#This Row],[COSTO]]*(1+45%)</f>
        <v>36540</v>
      </c>
      <c r="G52" s="23">
        <v>2</v>
      </c>
    </row>
    <row r="53" spans="1:7" x14ac:dyDescent="0.25">
      <c r="A53" s="23">
        <v>51</v>
      </c>
      <c r="B53" s="23" t="s">
        <v>65</v>
      </c>
      <c r="C53" s="23" t="s">
        <v>64</v>
      </c>
      <c r="D53" s="23" t="s">
        <v>820</v>
      </c>
      <c r="E53" s="26">
        <v>19900</v>
      </c>
      <c r="F53" s="26">
        <f>Tabla1[[#This Row],[COSTO]]*(1+45%)</f>
        <v>28855</v>
      </c>
      <c r="G53" s="23">
        <v>2</v>
      </c>
    </row>
    <row r="54" spans="1:7" x14ac:dyDescent="0.25">
      <c r="A54" s="23">
        <v>52</v>
      </c>
      <c r="B54" s="23" t="s">
        <v>67</v>
      </c>
      <c r="C54" s="23" t="s">
        <v>66</v>
      </c>
      <c r="D54" s="23" t="s">
        <v>821</v>
      </c>
      <c r="E54" s="26">
        <v>7650</v>
      </c>
      <c r="F54" s="26">
        <f>Tabla1[[#This Row],[COSTO]]*(1+45%)</f>
        <v>11092.5</v>
      </c>
      <c r="G54" s="23">
        <v>0</v>
      </c>
    </row>
    <row r="55" spans="1:7" x14ac:dyDescent="0.25">
      <c r="A55" s="23">
        <v>53</v>
      </c>
      <c r="B55" s="23" t="s">
        <v>69</v>
      </c>
      <c r="C55" s="23" t="s">
        <v>68</v>
      </c>
      <c r="D55" s="23" t="s">
        <v>821</v>
      </c>
      <c r="E55" s="26">
        <v>22300</v>
      </c>
      <c r="F55" s="26">
        <f>Tabla1[[#This Row],[COSTO]]*(1+45%)</f>
        <v>32335</v>
      </c>
      <c r="G55" s="23">
        <v>2</v>
      </c>
    </row>
    <row r="56" spans="1:7" x14ac:dyDescent="0.25">
      <c r="A56" s="23">
        <v>54</v>
      </c>
      <c r="B56" s="23" t="s">
        <v>71</v>
      </c>
      <c r="C56" s="23" t="s">
        <v>70</v>
      </c>
      <c r="D56" s="23" t="s">
        <v>821</v>
      </c>
      <c r="E56" s="26">
        <v>5690</v>
      </c>
      <c r="F56" s="26">
        <f>Tabla1[[#This Row],[COSTO]]*(1+45%)</f>
        <v>8250.5</v>
      </c>
      <c r="G56" s="23">
        <v>0</v>
      </c>
    </row>
    <row r="57" spans="1:7" x14ac:dyDescent="0.25">
      <c r="A57" s="23">
        <v>55</v>
      </c>
      <c r="B57" s="23" t="s">
        <v>73</v>
      </c>
      <c r="C57" s="23" t="s">
        <v>72</v>
      </c>
      <c r="D57" s="23" t="s">
        <v>821</v>
      </c>
      <c r="E57" s="26">
        <v>8650</v>
      </c>
      <c r="F57" s="26">
        <f>Tabla1[[#This Row],[COSTO]]*(1+45%)</f>
        <v>12542.5</v>
      </c>
      <c r="G57" s="23">
        <v>0</v>
      </c>
    </row>
    <row r="58" spans="1:7" x14ac:dyDescent="0.25">
      <c r="A58" s="23">
        <v>56</v>
      </c>
      <c r="B58" s="23" t="s">
        <v>75</v>
      </c>
      <c r="C58" s="23" t="s">
        <v>74</v>
      </c>
      <c r="D58" s="23" t="s">
        <v>822</v>
      </c>
      <c r="E58" s="26">
        <v>4750</v>
      </c>
      <c r="F58" s="26">
        <f>Tabla1[[#This Row],[COSTO]]*(1+45%)</f>
        <v>6887.5</v>
      </c>
      <c r="G58" s="23">
        <v>2</v>
      </c>
    </row>
    <row r="59" spans="1:7" x14ac:dyDescent="0.25">
      <c r="A59" s="23">
        <v>57</v>
      </c>
      <c r="B59" s="23" t="s">
        <v>77</v>
      </c>
      <c r="C59" s="23" t="s">
        <v>76</v>
      </c>
      <c r="D59" s="23" t="s">
        <v>822</v>
      </c>
      <c r="E59" s="26">
        <v>7550</v>
      </c>
      <c r="F59" s="26">
        <f>Tabla1[[#This Row],[COSTO]]*(1+45%)</f>
        <v>10947.5</v>
      </c>
      <c r="G59" s="23">
        <v>2</v>
      </c>
    </row>
    <row r="60" spans="1:7" x14ac:dyDescent="0.25">
      <c r="A60" s="23">
        <v>58</v>
      </c>
      <c r="B60" s="23" t="s">
        <v>77</v>
      </c>
      <c r="C60" s="23" t="s">
        <v>78</v>
      </c>
      <c r="D60" s="23" t="s">
        <v>822</v>
      </c>
      <c r="E60" s="26">
        <v>7550</v>
      </c>
      <c r="F60" s="26">
        <f>Tabla1[[#This Row],[COSTO]]*(1+45%)</f>
        <v>10947.5</v>
      </c>
      <c r="G60" s="23">
        <v>2</v>
      </c>
    </row>
    <row r="61" spans="1:7" x14ac:dyDescent="0.25">
      <c r="A61" s="23">
        <v>59</v>
      </c>
      <c r="B61" s="23" t="s">
        <v>77</v>
      </c>
      <c r="C61" s="23" t="s">
        <v>79</v>
      </c>
      <c r="D61" s="23" t="s">
        <v>822</v>
      </c>
      <c r="E61" s="26">
        <v>7550</v>
      </c>
      <c r="F61" s="26">
        <f>Tabla1[[#This Row],[COSTO]]*(1+45%)</f>
        <v>10947.5</v>
      </c>
      <c r="G61" s="23">
        <v>1</v>
      </c>
    </row>
    <row r="62" spans="1:7" x14ac:dyDescent="0.25">
      <c r="A62" s="23">
        <v>60</v>
      </c>
      <c r="B62" s="23" t="s">
        <v>77</v>
      </c>
      <c r="C62" s="23" t="s">
        <v>80</v>
      </c>
      <c r="D62" s="23" t="s">
        <v>822</v>
      </c>
      <c r="E62" s="26">
        <v>7550</v>
      </c>
      <c r="F62" s="26">
        <f>Tabla1[[#This Row],[COSTO]]*(1+45%)</f>
        <v>10947.5</v>
      </c>
      <c r="G62" s="23">
        <v>1</v>
      </c>
    </row>
    <row r="63" spans="1:7" x14ac:dyDescent="0.25">
      <c r="A63" s="23">
        <v>61</v>
      </c>
      <c r="B63" s="23" t="s">
        <v>77</v>
      </c>
      <c r="C63" s="23" t="s">
        <v>81</v>
      </c>
      <c r="D63" s="23" t="s">
        <v>822</v>
      </c>
      <c r="E63" s="26">
        <v>7550</v>
      </c>
      <c r="F63" s="26">
        <f>Tabla1[[#This Row],[COSTO]]*(1+45%)</f>
        <v>10947.5</v>
      </c>
      <c r="G63" s="23">
        <v>1</v>
      </c>
    </row>
    <row r="64" spans="1:7" x14ac:dyDescent="0.25">
      <c r="A64" s="23">
        <v>62</v>
      </c>
      <c r="B64" s="23" t="s">
        <v>77</v>
      </c>
      <c r="C64" s="23" t="s">
        <v>82</v>
      </c>
      <c r="D64" s="23" t="s">
        <v>822</v>
      </c>
      <c r="E64" s="26">
        <v>7550</v>
      </c>
      <c r="F64" s="26">
        <f>Tabla1[[#This Row],[COSTO]]*(1+45%)</f>
        <v>10947.5</v>
      </c>
      <c r="G64" s="23">
        <v>1</v>
      </c>
    </row>
    <row r="65" spans="1:7" x14ac:dyDescent="0.25">
      <c r="A65" s="23">
        <v>63</v>
      </c>
      <c r="B65" s="23" t="s">
        <v>84</v>
      </c>
      <c r="C65" s="23" t="s">
        <v>83</v>
      </c>
      <c r="D65" s="23" t="s">
        <v>822</v>
      </c>
      <c r="E65" s="26">
        <v>18100</v>
      </c>
      <c r="F65" s="26">
        <f>Tabla1[[#This Row],[COSTO]]*(1+45%)</f>
        <v>26245</v>
      </c>
      <c r="G65" s="23">
        <v>3</v>
      </c>
    </row>
    <row r="66" spans="1:7" x14ac:dyDescent="0.25">
      <c r="A66" s="23">
        <v>64</v>
      </c>
      <c r="B66" s="23" t="s">
        <v>86</v>
      </c>
      <c r="C66" s="23" t="s">
        <v>85</v>
      </c>
      <c r="D66" s="23" t="s">
        <v>823</v>
      </c>
      <c r="E66" s="26">
        <v>37900</v>
      </c>
      <c r="F66" s="26">
        <f>Tabla1[[#This Row],[COSTO]]*(1+45%)</f>
        <v>54955</v>
      </c>
      <c r="G66" s="23">
        <v>3</v>
      </c>
    </row>
    <row r="67" spans="1:7" x14ac:dyDescent="0.25">
      <c r="A67" s="23">
        <v>65</v>
      </c>
      <c r="B67" s="23" t="s">
        <v>88</v>
      </c>
      <c r="C67" s="23" t="s">
        <v>87</v>
      </c>
      <c r="D67" s="23" t="s">
        <v>823</v>
      </c>
      <c r="E67" s="26">
        <v>230</v>
      </c>
      <c r="F67" s="26">
        <f>Tabla1[[#This Row],[COSTO]]*(1+45%)</f>
        <v>333.5</v>
      </c>
      <c r="G67" s="23">
        <v>100</v>
      </c>
    </row>
    <row r="68" spans="1:7" x14ac:dyDescent="0.25">
      <c r="A68" s="23">
        <v>66</v>
      </c>
      <c r="B68" s="23" t="s">
        <v>90</v>
      </c>
      <c r="C68" s="23" t="s">
        <v>89</v>
      </c>
      <c r="D68" s="23" t="s">
        <v>823</v>
      </c>
      <c r="E68" s="26">
        <v>2990</v>
      </c>
      <c r="F68" s="26">
        <f>Tabla1[[#This Row],[COSTO]]*(1+45%)</f>
        <v>4335.5</v>
      </c>
      <c r="G68" s="23">
        <v>25</v>
      </c>
    </row>
    <row r="69" spans="1:7" x14ac:dyDescent="0.25">
      <c r="A69" s="23">
        <v>67</v>
      </c>
      <c r="B69" s="23" t="s">
        <v>92</v>
      </c>
      <c r="C69" s="23" t="s">
        <v>91</v>
      </c>
      <c r="D69" s="23" t="s">
        <v>823</v>
      </c>
      <c r="E69" s="26">
        <v>250</v>
      </c>
      <c r="F69" s="26">
        <f>Tabla1[[#This Row],[COSTO]]*(1+45%)</f>
        <v>362.5</v>
      </c>
      <c r="G69" s="23">
        <v>100</v>
      </c>
    </row>
    <row r="70" spans="1:7" x14ac:dyDescent="0.25">
      <c r="A70" s="23">
        <v>68</v>
      </c>
      <c r="B70" s="23" t="s">
        <v>94</v>
      </c>
      <c r="C70" s="23" t="s">
        <v>93</v>
      </c>
      <c r="D70" s="23" t="s">
        <v>823</v>
      </c>
      <c r="E70" s="26">
        <v>123500</v>
      </c>
      <c r="F70" s="26">
        <f>Tabla1[[#This Row],[COSTO]]*(1+45%)</f>
        <v>179075</v>
      </c>
      <c r="G70" s="23">
        <v>1</v>
      </c>
    </row>
    <row r="71" spans="1:7" x14ac:dyDescent="0.25">
      <c r="A71" s="23">
        <v>69</v>
      </c>
      <c r="B71" s="23" t="s">
        <v>96</v>
      </c>
      <c r="C71" s="23" t="s">
        <v>95</v>
      </c>
      <c r="D71" s="23" t="s">
        <v>823</v>
      </c>
      <c r="E71" s="26">
        <v>7890</v>
      </c>
      <c r="F71" s="26">
        <f>Tabla1[[#This Row],[COSTO]]*(1+45%)</f>
        <v>11440.5</v>
      </c>
      <c r="G71" s="23">
        <v>2</v>
      </c>
    </row>
    <row r="72" spans="1:7" x14ac:dyDescent="0.25">
      <c r="A72" s="23">
        <v>70</v>
      </c>
      <c r="B72" s="23" t="s">
        <v>98</v>
      </c>
      <c r="C72" s="23" t="s">
        <v>97</v>
      </c>
      <c r="D72" s="23" t="s">
        <v>824</v>
      </c>
      <c r="E72" s="26">
        <v>8750</v>
      </c>
      <c r="F72" s="26">
        <f>Tabla1[[#This Row],[COSTO]]*(1+45%)</f>
        <v>12687.5</v>
      </c>
      <c r="G72" s="23">
        <v>3</v>
      </c>
    </row>
    <row r="73" spans="1:7" x14ac:dyDescent="0.25">
      <c r="A73" s="23">
        <v>71</v>
      </c>
      <c r="B73" s="23" t="s">
        <v>100</v>
      </c>
      <c r="C73" s="23" t="s">
        <v>99</v>
      </c>
      <c r="D73" s="23" t="s">
        <v>824</v>
      </c>
      <c r="E73" s="26">
        <v>3550</v>
      </c>
      <c r="F73" s="26">
        <f>Tabla1[[#This Row],[COSTO]]*(1+45%)</f>
        <v>5147.5</v>
      </c>
      <c r="G73" s="23">
        <v>22</v>
      </c>
    </row>
    <row r="74" spans="1:7" x14ac:dyDescent="0.25">
      <c r="A74" s="23">
        <v>72</v>
      </c>
      <c r="B74" s="23" t="s">
        <v>102</v>
      </c>
      <c r="C74" s="23" t="s">
        <v>101</v>
      </c>
      <c r="D74" s="23" t="s">
        <v>824</v>
      </c>
      <c r="E74" s="26">
        <v>53500</v>
      </c>
      <c r="F74" s="26">
        <f>Tabla1[[#This Row],[COSTO]]*(1+45%)</f>
        <v>77575</v>
      </c>
      <c r="G74" s="23">
        <v>0</v>
      </c>
    </row>
    <row r="75" spans="1:7" x14ac:dyDescent="0.25">
      <c r="A75" s="23">
        <v>73</v>
      </c>
      <c r="B75" s="23" t="s">
        <v>104</v>
      </c>
      <c r="C75" s="23" t="s">
        <v>103</v>
      </c>
      <c r="D75" s="23" t="s">
        <v>824</v>
      </c>
      <c r="E75" s="26">
        <v>21700</v>
      </c>
      <c r="F75" s="26">
        <f>Tabla1[[#This Row],[COSTO]]*(1+45%)</f>
        <v>31465</v>
      </c>
      <c r="G75" s="23">
        <v>2</v>
      </c>
    </row>
    <row r="76" spans="1:7" x14ac:dyDescent="0.25">
      <c r="A76" s="23">
        <v>74</v>
      </c>
      <c r="B76" s="23" t="s">
        <v>106</v>
      </c>
      <c r="C76" s="23" t="s">
        <v>105</v>
      </c>
      <c r="D76" s="23" t="s">
        <v>824</v>
      </c>
      <c r="E76" s="26">
        <v>72500</v>
      </c>
      <c r="F76" s="26">
        <f>Tabla1[[#This Row],[COSTO]]*(1+45%)</f>
        <v>105125</v>
      </c>
      <c r="G76" s="23">
        <v>1</v>
      </c>
    </row>
    <row r="77" spans="1:7" x14ac:dyDescent="0.25">
      <c r="A77" s="23">
        <v>75</v>
      </c>
      <c r="B77" s="23" t="s">
        <v>108</v>
      </c>
      <c r="C77" s="23" t="s">
        <v>107</v>
      </c>
      <c r="D77" s="23" t="s">
        <v>824</v>
      </c>
      <c r="E77" s="26">
        <v>89900</v>
      </c>
      <c r="F77" s="26">
        <f>Tabla1[[#This Row],[COSTO]]*(1+45%)</f>
        <v>130355</v>
      </c>
      <c r="G77" s="23">
        <v>1</v>
      </c>
    </row>
    <row r="78" spans="1:7" x14ac:dyDescent="0.25">
      <c r="A78" s="23">
        <v>76</v>
      </c>
      <c r="B78" s="23" t="s">
        <v>110</v>
      </c>
      <c r="C78" s="23" t="s">
        <v>109</v>
      </c>
      <c r="D78" s="23" t="s">
        <v>824</v>
      </c>
      <c r="E78" s="26">
        <v>74900</v>
      </c>
      <c r="F78" s="26">
        <f>Tabla1[[#This Row],[COSTO]]*(1+45%)</f>
        <v>108605</v>
      </c>
      <c r="G78" s="23">
        <v>1</v>
      </c>
    </row>
    <row r="79" spans="1:7" x14ac:dyDescent="0.25">
      <c r="A79" s="23">
        <v>77</v>
      </c>
      <c r="B79" s="23" t="s">
        <v>112</v>
      </c>
      <c r="C79" s="23" t="s">
        <v>111</v>
      </c>
      <c r="D79" s="23" t="s">
        <v>824</v>
      </c>
      <c r="E79" s="26">
        <v>83900</v>
      </c>
      <c r="F79" s="26">
        <f>Tabla1[[#This Row],[COSTO]]*(1+45%)</f>
        <v>121655</v>
      </c>
      <c r="G79" s="23">
        <v>1</v>
      </c>
    </row>
    <row r="80" spans="1:7" x14ac:dyDescent="0.25">
      <c r="A80" s="23">
        <v>78</v>
      </c>
      <c r="B80" s="23" t="s">
        <v>806</v>
      </c>
      <c r="C80" s="23" t="s">
        <v>113</v>
      </c>
      <c r="D80" s="23" t="s">
        <v>824</v>
      </c>
      <c r="E80" s="26">
        <v>4350</v>
      </c>
      <c r="F80" s="26">
        <f>Tabla1[[#This Row],[COSTO]]*(1+45%)</f>
        <v>6307.5</v>
      </c>
      <c r="G80" s="23">
        <v>10</v>
      </c>
    </row>
    <row r="81" spans="1:7" x14ac:dyDescent="0.25">
      <c r="A81" s="23">
        <v>79</v>
      </c>
      <c r="B81" s="23" t="s">
        <v>115</v>
      </c>
      <c r="C81" s="23" t="s">
        <v>114</v>
      </c>
      <c r="D81" s="23" t="s">
        <v>824</v>
      </c>
      <c r="E81" s="26">
        <v>3750</v>
      </c>
      <c r="F81" s="26">
        <f>Tabla1[[#This Row],[COSTO]]*(1+45%)</f>
        <v>5437.5</v>
      </c>
      <c r="G81" s="23">
        <v>22</v>
      </c>
    </row>
    <row r="82" spans="1:7" x14ac:dyDescent="0.25">
      <c r="A82" s="23">
        <v>80</v>
      </c>
      <c r="B82" s="23" t="s">
        <v>117</v>
      </c>
      <c r="C82" s="23" t="s">
        <v>116</v>
      </c>
      <c r="D82" s="23" t="s">
        <v>824</v>
      </c>
      <c r="E82" s="26">
        <v>7750</v>
      </c>
      <c r="F82" s="26">
        <f>Tabla1[[#This Row],[COSTO]]*(1+45%)</f>
        <v>11237.5</v>
      </c>
      <c r="G82" s="23">
        <v>5</v>
      </c>
    </row>
    <row r="83" spans="1:7" x14ac:dyDescent="0.25">
      <c r="A83" s="23">
        <v>81</v>
      </c>
      <c r="B83" s="23" t="s">
        <v>119</v>
      </c>
      <c r="C83" s="23" t="s">
        <v>118</v>
      </c>
      <c r="D83" s="23" t="s">
        <v>824</v>
      </c>
      <c r="E83" s="26">
        <v>21200</v>
      </c>
      <c r="F83" s="26">
        <f>Tabla1[[#This Row],[COSTO]]*(1+45%)</f>
        <v>30740</v>
      </c>
      <c r="G83" s="23">
        <v>3</v>
      </c>
    </row>
    <row r="84" spans="1:7" x14ac:dyDescent="0.25">
      <c r="A84" s="23">
        <v>82</v>
      </c>
      <c r="B84" s="23" t="s">
        <v>121</v>
      </c>
      <c r="C84" s="23" t="s">
        <v>120</v>
      </c>
      <c r="D84" s="23" t="s">
        <v>824</v>
      </c>
      <c r="E84" s="26">
        <v>31900</v>
      </c>
      <c r="F84" s="26">
        <f>Tabla1[[#This Row],[COSTO]]*(1+45%)</f>
        <v>46255</v>
      </c>
      <c r="G84" s="23">
        <v>3</v>
      </c>
    </row>
    <row r="85" spans="1:7" x14ac:dyDescent="0.25">
      <c r="A85" s="23">
        <v>83</v>
      </c>
      <c r="B85" s="23" t="s">
        <v>739</v>
      </c>
      <c r="C85" s="23" t="s">
        <v>738</v>
      </c>
      <c r="D85" s="23" t="s">
        <v>824</v>
      </c>
      <c r="E85" s="26">
        <v>37900</v>
      </c>
      <c r="F85" s="26">
        <f>Tabla1[[#This Row],[COSTO]]*(1+45%)</f>
        <v>54955</v>
      </c>
      <c r="G85" s="23">
        <v>2</v>
      </c>
    </row>
    <row r="86" spans="1:7" x14ac:dyDescent="0.25">
      <c r="A86" s="23">
        <v>84</v>
      </c>
      <c r="B86" s="23" t="s">
        <v>123</v>
      </c>
      <c r="C86" s="23" t="s">
        <v>122</v>
      </c>
      <c r="D86" s="23" t="s">
        <v>824</v>
      </c>
      <c r="E86" s="26">
        <v>65900</v>
      </c>
      <c r="F86" s="26">
        <f>Tabla1[[#This Row],[COSTO]]*(1+45%)</f>
        <v>95555</v>
      </c>
      <c r="G86" s="23">
        <v>1</v>
      </c>
    </row>
    <row r="87" spans="1:7" x14ac:dyDescent="0.25">
      <c r="A87" s="23">
        <v>85</v>
      </c>
      <c r="B87" s="23" t="s">
        <v>123</v>
      </c>
      <c r="C87" s="23" t="s">
        <v>740</v>
      </c>
      <c r="D87" s="23" t="s">
        <v>824</v>
      </c>
      <c r="E87" s="26">
        <v>65900</v>
      </c>
      <c r="F87" s="26">
        <f>Tabla1[[#This Row],[COSTO]]*(1+45%)</f>
        <v>95555</v>
      </c>
      <c r="G87" s="23">
        <v>0</v>
      </c>
    </row>
    <row r="88" spans="1:7" x14ac:dyDescent="0.25">
      <c r="A88" s="23">
        <v>86</v>
      </c>
      <c r="B88" s="23" t="s">
        <v>125</v>
      </c>
      <c r="C88" s="23" t="s">
        <v>124</v>
      </c>
      <c r="D88" s="23" t="s">
        <v>824</v>
      </c>
      <c r="E88" s="26">
        <v>41500</v>
      </c>
      <c r="F88" s="26">
        <f>Tabla1[[#This Row],[COSTO]]*(1+45%)</f>
        <v>60175</v>
      </c>
      <c r="G88" s="23">
        <v>2</v>
      </c>
    </row>
    <row r="89" spans="1:7" x14ac:dyDescent="0.25">
      <c r="A89" s="23">
        <v>87</v>
      </c>
      <c r="B89" s="23" t="s">
        <v>127</v>
      </c>
      <c r="C89" s="23" t="s">
        <v>126</v>
      </c>
      <c r="D89" s="23" t="s">
        <v>824</v>
      </c>
      <c r="E89" s="26">
        <v>48500</v>
      </c>
      <c r="F89" s="26">
        <f>Tabla1[[#This Row],[COSTO]]*(1+45%)</f>
        <v>70325</v>
      </c>
      <c r="G89" s="23">
        <v>0</v>
      </c>
    </row>
    <row r="90" spans="1:7" x14ac:dyDescent="0.25">
      <c r="A90" s="23">
        <v>88</v>
      </c>
      <c r="B90" s="23" t="s">
        <v>129</v>
      </c>
      <c r="C90" s="23" t="s">
        <v>128</v>
      </c>
      <c r="D90" s="23" t="s">
        <v>825</v>
      </c>
      <c r="E90" s="26">
        <v>9850</v>
      </c>
      <c r="F90" s="26">
        <f>Tabla1[[#This Row],[COSTO]]*(1+45%)</f>
        <v>14282.5</v>
      </c>
      <c r="G90" s="23">
        <v>0</v>
      </c>
    </row>
    <row r="91" spans="1:7" x14ac:dyDescent="0.25">
      <c r="A91" s="23">
        <v>89</v>
      </c>
      <c r="B91" s="23" t="s">
        <v>131</v>
      </c>
      <c r="C91" s="23" t="s">
        <v>130</v>
      </c>
      <c r="D91" s="23" t="s">
        <v>825</v>
      </c>
      <c r="E91" s="26">
        <v>6490</v>
      </c>
      <c r="F91" s="26">
        <f>Tabla1[[#This Row],[COSTO]]*(1+45%)</f>
        <v>9410.5</v>
      </c>
      <c r="G91" s="23">
        <v>4</v>
      </c>
    </row>
    <row r="92" spans="1:7" x14ac:dyDescent="0.25">
      <c r="A92" s="23">
        <v>90</v>
      </c>
      <c r="B92" s="23" t="s">
        <v>133</v>
      </c>
      <c r="C92" s="23" t="s">
        <v>132</v>
      </c>
      <c r="D92" s="23" t="s">
        <v>825</v>
      </c>
      <c r="E92" s="26">
        <v>4800</v>
      </c>
      <c r="F92" s="26">
        <f>Tabla1[[#This Row],[COSTO]]*(1+45%)</f>
        <v>6960</v>
      </c>
      <c r="G92" s="23">
        <v>3</v>
      </c>
    </row>
    <row r="93" spans="1:7" x14ac:dyDescent="0.25">
      <c r="A93" s="23">
        <v>91</v>
      </c>
      <c r="B93" s="23" t="s">
        <v>133</v>
      </c>
      <c r="C93" s="23" t="s">
        <v>134</v>
      </c>
      <c r="D93" s="23" t="s">
        <v>825</v>
      </c>
      <c r="E93" s="26">
        <v>4800</v>
      </c>
      <c r="F93" s="26">
        <f>Tabla1[[#This Row],[COSTO]]*(1+45%)</f>
        <v>6960</v>
      </c>
      <c r="G93" s="23">
        <v>2</v>
      </c>
    </row>
    <row r="94" spans="1:7" x14ac:dyDescent="0.25">
      <c r="A94" s="23">
        <v>92</v>
      </c>
      <c r="B94" s="23" t="s">
        <v>136</v>
      </c>
      <c r="C94" s="23" t="s">
        <v>135</v>
      </c>
      <c r="D94" s="23" t="s">
        <v>826</v>
      </c>
      <c r="E94" s="26">
        <v>9500</v>
      </c>
      <c r="F94" s="26">
        <f>Tabla1[[#This Row],[COSTO]]*(1+45%)</f>
        <v>13775</v>
      </c>
      <c r="G94" s="23">
        <v>2</v>
      </c>
    </row>
    <row r="95" spans="1:7" x14ac:dyDescent="0.25">
      <c r="A95" s="23">
        <v>93</v>
      </c>
      <c r="B95" s="23" t="s">
        <v>138</v>
      </c>
      <c r="C95" s="23" t="s">
        <v>137</v>
      </c>
      <c r="D95" s="23" t="s">
        <v>827</v>
      </c>
      <c r="E95" s="26">
        <v>52900</v>
      </c>
      <c r="F95" s="26">
        <f>Tabla1[[#This Row],[COSTO]]*(1+45%)</f>
        <v>76705</v>
      </c>
      <c r="G95" s="23">
        <v>1</v>
      </c>
    </row>
    <row r="96" spans="1:7" x14ac:dyDescent="0.25">
      <c r="A96" s="23">
        <v>94</v>
      </c>
      <c r="B96" s="23" t="s">
        <v>140</v>
      </c>
      <c r="C96" s="23" t="s">
        <v>139</v>
      </c>
      <c r="D96" s="23" t="s">
        <v>827</v>
      </c>
      <c r="E96" s="26">
        <v>93500</v>
      </c>
      <c r="F96" s="26">
        <f>Tabla1[[#This Row],[COSTO]]*(1+45%)</f>
        <v>135575</v>
      </c>
      <c r="G96" s="23">
        <v>0</v>
      </c>
    </row>
    <row r="97" spans="1:7" x14ac:dyDescent="0.25">
      <c r="A97" s="23">
        <v>95</v>
      </c>
      <c r="B97" s="23" t="s">
        <v>766</v>
      </c>
      <c r="C97" s="23" t="s">
        <v>765</v>
      </c>
      <c r="D97" s="23" t="s">
        <v>828</v>
      </c>
      <c r="E97" s="26">
        <v>99900</v>
      </c>
      <c r="F97" s="26">
        <f>Tabla1[[#This Row],[COSTO]]*(1+45%)</f>
        <v>144855</v>
      </c>
      <c r="G97" s="23">
        <v>0</v>
      </c>
    </row>
    <row r="98" spans="1:7" x14ac:dyDescent="0.25">
      <c r="A98" s="23">
        <v>96</v>
      </c>
      <c r="B98" s="23" t="s">
        <v>142</v>
      </c>
      <c r="C98" s="23" t="s">
        <v>141</v>
      </c>
      <c r="D98" s="23" t="s">
        <v>828</v>
      </c>
      <c r="E98" s="26">
        <v>59900</v>
      </c>
      <c r="F98" s="26">
        <f>Tabla1[[#This Row],[COSTO]]*(1+45%)</f>
        <v>86855</v>
      </c>
      <c r="G98" s="23">
        <v>1</v>
      </c>
    </row>
    <row r="99" spans="1:7" x14ac:dyDescent="0.25">
      <c r="A99" s="23">
        <v>97</v>
      </c>
      <c r="B99" s="23" t="s">
        <v>142</v>
      </c>
      <c r="C99" s="23" t="s">
        <v>143</v>
      </c>
      <c r="D99" s="23" t="s">
        <v>828</v>
      </c>
      <c r="E99" s="26">
        <v>59900</v>
      </c>
      <c r="F99" s="26">
        <f>Tabla1[[#This Row],[COSTO]]*(1+45%)</f>
        <v>86855</v>
      </c>
      <c r="G99" s="23">
        <v>0</v>
      </c>
    </row>
    <row r="100" spans="1:7" x14ac:dyDescent="0.25">
      <c r="A100" s="23">
        <v>98</v>
      </c>
      <c r="B100" s="23" t="s">
        <v>145</v>
      </c>
      <c r="C100" s="23" t="s">
        <v>144</v>
      </c>
      <c r="D100" s="23" t="s">
        <v>828</v>
      </c>
      <c r="E100" s="26">
        <v>24900</v>
      </c>
      <c r="F100" s="26">
        <f>Tabla1[[#This Row],[COSTO]]*(1+45%)</f>
        <v>36105</v>
      </c>
      <c r="G100" s="23">
        <v>0</v>
      </c>
    </row>
    <row r="101" spans="1:7" x14ac:dyDescent="0.25">
      <c r="A101" s="23">
        <v>99</v>
      </c>
      <c r="B101" s="23" t="s">
        <v>145</v>
      </c>
      <c r="C101" s="23" t="s">
        <v>146</v>
      </c>
      <c r="D101" s="23" t="s">
        <v>828</v>
      </c>
      <c r="E101" s="26">
        <v>24900</v>
      </c>
      <c r="F101" s="26">
        <f>Tabla1[[#This Row],[COSTO]]*(1+45%)</f>
        <v>36105</v>
      </c>
      <c r="G101" s="23">
        <v>1</v>
      </c>
    </row>
    <row r="102" spans="1:7" x14ac:dyDescent="0.25">
      <c r="A102" s="23">
        <v>100</v>
      </c>
      <c r="B102" s="23" t="s">
        <v>148</v>
      </c>
      <c r="C102" s="23" t="s">
        <v>147</v>
      </c>
      <c r="D102" s="23" t="s">
        <v>828</v>
      </c>
      <c r="E102" s="26">
        <v>40500</v>
      </c>
      <c r="F102" s="26">
        <f>Tabla1[[#This Row],[COSTO]]*(1+45%)</f>
        <v>58725</v>
      </c>
      <c r="G102" s="23">
        <v>1</v>
      </c>
    </row>
    <row r="103" spans="1:7" x14ac:dyDescent="0.25">
      <c r="A103" s="23">
        <v>101</v>
      </c>
      <c r="B103" s="23" t="s">
        <v>148</v>
      </c>
      <c r="C103" s="23" t="s">
        <v>149</v>
      </c>
      <c r="D103" s="23" t="s">
        <v>828</v>
      </c>
      <c r="E103" s="26">
        <v>40500</v>
      </c>
      <c r="F103" s="26">
        <f>Tabla1[[#This Row],[COSTO]]*(1+45%)</f>
        <v>58725</v>
      </c>
      <c r="G103" s="23">
        <v>1</v>
      </c>
    </row>
    <row r="104" spans="1:7" x14ac:dyDescent="0.25">
      <c r="A104" s="23">
        <v>102</v>
      </c>
      <c r="B104" s="23" t="s">
        <v>151</v>
      </c>
      <c r="C104" s="23" t="s">
        <v>150</v>
      </c>
      <c r="D104" s="23" t="s">
        <v>828</v>
      </c>
      <c r="E104" s="26">
        <v>54900</v>
      </c>
      <c r="F104" s="26">
        <f>Tabla1[[#This Row],[COSTO]]*(1+45%)</f>
        <v>79605</v>
      </c>
      <c r="G104" s="23">
        <v>1</v>
      </c>
    </row>
    <row r="105" spans="1:7" x14ac:dyDescent="0.25">
      <c r="A105" s="23">
        <v>103</v>
      </c>
      <c r="B105" s="23" t="s">
        <v>151</v>
      </c>
      <c r="C105" s="23" t="s">
        <v>152</v>
      </c>
      <c r="D105" s="23" t="s">
        <v>828</v>
      </c>
      <c r="E105" s="26">
        <v>54900</v>
      </c>
      <c r="F105" s="26">
        <f>Tabla1[[#This Row],[COSTO]]*(1+45%)</f>
        <v>79605</v>
      </c>
      <c r="G105" s="23">
        <v>0</v>
      </c>
    </row>
    <row r="106" spans="1:7" x14ac:dyDescent="0.25">
      <c r="A106" s="23">
        <v>104</v>
      </c>
      <c r="B106" s="23" t="s">
        <v>154</v>
      </c>
      <c r="C106" s="23" t="s">
        <v>153</v>
      </c>
      <c r="D106" s="23" t="s">
        <v>828</v>
      </c>
      <c r="E106" s="26">
        <v>46900</v>
      </c>
      <c r="F106" s="26">
        <f>Tabla1[[#This Row],[COSTO]]*(1+45%)</f>
        <v>68005</v>
      </c>
      <c r="G106" s="23">
        <v>1</v>
      </c>
    </row>
    <row r="107" spans="1:7" x14ac:dyDescent="0.25">
      <c r="A107" s="23">
        <v>105</v>
      </c>
      <c r="B107" s="23" t="s">
        <v>154</v>
      </c>
      <c r="C107" s="23" t="s">
        <v>155</v>
      </c>
      <c r="D107" s="23" t="s">
        <v>828</v>
      </c>
      <c r="E107" s="26">
        <v>46900</v>
      </c>
      <c r="F107" s="26">
        <f>Tabla1[[#This Row],[COSTO]]*(1+45%)</f>
        <v>68005</v>
      </c>
      <c r="G107" s="23">
        <v>0</v>
      </c>
    </row>
    <row r="108" spans="1:7" x14ac:dyDescent="0.25">
      <c r="A108" s="23">
        <v>106</v>
      </c>
      <c r="B108" s="23" t="s">
        <v>157</v>
      </c>
      <c r="C108" s="23" t="s">
        <v>156</v>
      </c>
      <c r="D108" s="23" t="s">
        <v>829</v>
      </c>
      <c r="E108" s="26">
        <v>47200</v>
      </c>
      <c r="F108" s="26">
        <f>Tabla1[[#This Row],[COSTO]]*(1+45%)</f>
        <v>68440</v>
      </c>
      <c r="G108" s="23">
        <v>1</v>
      </c>
    </row>
    <row r="109" spans="1:7" x14ac:dyDescent="0.25">
      <c r="A109" s="23">
        <v>107</v>
      </c>
      <c r="B109" s="23" t="s">
        <v>159</v>
      </c>
      <c r="C109" s="23" t="s">
        <v>158</v>
      </c>
      <c r="D109" s="23" t="s">
        <v>829</v>
      </c>
      <c r="E109" s="26">
        <v>86900</v>
      </c>
      <c r="F109" s="26">
        <f>Tabla1[[#This Row],[COSTO]]*(1+45%)</f>
        <v>126005</v>
      </c>
      <c r="G109" s="23">
        <v>1</v>
      </c>
    </row>
    <row r="110" spans="1:7" x14ac:dyDescent="0.25">
      <c r="A110" s="23">
        <v>108</v>
      </c>
      <c r="B110" s="23" t="s">
        <v>161</v>
      </c>
      <c r="C110" s="23" t="s">
        <v>160</v>
      </c>
      <c r="D110" s="23" t="s">
        <v>829</v>
      </c>
      <c r="E110" s="26">
        <v>33900</v>
      </c>
      <c r="F110" s="26">
        <f>Tabla1[[#This Row],[COSTO]]*(1+45%)</f>
        <v>49155</v>
      </c>
      <c r="G110" s="23">
        <v>1</v>
      </c>
    </row>
    <row r="111" spans="1:7" x14ac:dyDescent="0.25">
      <c r="A111" s="23">
        <v>109</v>
      </c>
      <c r="B111" s="23" t="s">
        <v>163</v>
      </c>
      <c r="C111" s="23" t="s">
        <v>162</v>
      </c>
      <c r="D111" s="23" t="s">
        <v>829</v>
      </c>
      <c r="E111" s="26">
        <v>28900</v>
      </c>
      <c r="F111" s="26">
        <f>Tabla1[[#This Row],[COSTO]]*(1+45%)</f>
        <v>41905</v>
      </c>
      <c r="G111" s="23">
        <v>1</v>
      </c>
    </row>
    <row r="112" spans="1:7" x14ac:dyDescent="0.25">
      <c r="A112" s="23">
        <v>110</v>
      </c>
      <c r="B112" s="23" t="s">
        <v>165</v>
      </c>
      <c r="C112" s="23" t="s">
        <v>164</v>
      </c>
      <c r="D112" s="23" t="s">
        <v>829</v>
      </c>
      <c r="E112" s="26">
        <v>37900</v>
      </c>
      <c r="F112" s="26">
        <f>Tabla1[[#This Row],[COSTO]]*(1+45%)</f>
        <v>54955</v>
      </c>
      <c r="G112" s="23">
        <v>1</v>
      </c>
    </row>
    <row r="113" spans="1:7" x14ac:dyDescent="0.25">
      <c r="A113" s="23">
        <v>111</v>
      </c>
      <c r="B113" s="23" t="s">
        <v>167</v>
      </c>
      <c r="C113" s="23" t="s">
        <v>166</v>
      </c>
      <c r="D113" s="23" t="s">
        <v>829</v>
      </c>
      <c r="E113" s="26">
        <v>69500</v>
      </c>
      <c r="F113" s="26">
        <f>Tabla1[[#This Row],[COSTO]]*(1+45%)</f>
        <v>100775</v>
      </c>
      <c r="G113" s="23">
        <v>1</v>
      </c>
    </row>
    <row r="114" spans="1:7" x14ac:dyDescent="0.25">
      <c r="A114" s="23">
        <v>112</v>
      </c>
      <c r="B114" s="23" t="s">
        <v>169</v>
      </c>
      <c r="C114" s="23" t="s">
        <v>168</v>
      </c>
      <c r="D114" s="23" t="s">
        <v>829</v>
      </c>
      <c r="E114" s="26">
        <v>36500</v>
      </c>
      <c r="F114" s="26">
        <f>Tabla1[[#This Row],[COSTO]]*(1+45%)</f>
        <v>52925</v>
      </c>
      <c r="G114" s="23">
        <v>2</v>
      </c>
    </row>
    <row r="115" spans="1:7" x14ac:dyDescent="0.25">
      <c r="A115" s="23">
        <v>113</v>
      </c>
      <c r="B115" s="23" t="s">
        <v>171</v>
      </c>
      <c r="C115" s="23" t="s">
        <v>170</v>
      </c>
      <c r="D115" s="23" t="s">
        <v>829</v>
      </c>
      <c r="E115" s="26">
        <v>58900</v>
      </c>
      <c r="F115" s="26">
        <f>Tabla1[[#This Row],[COSTO]]*(1+45%)</f>
        <v>85405</v>
      </c>
      <c r="G115" s="23">
        <v>2</v>
      </c>
    </row>
    <row r="116" spans="1:7" x14ac:dyDescent="0.25">
      <c r="A116" s="23">
        <v>114</v>
      </c>
      <c r="B116" s="23" t="s">
        <v>173</v>
      </c>
      <c r="C116" s="23" t="s">
        <v>172</v>
      </c>
      <c r="D116" s="23" t="s">
        <v>829</v>
      </c>
      <c r="E116" s="26">
        <v>27100</v>
      </c>
      <c r="F116" s="26">
        <f>Tabla1[[#This Row],[COSTO]]*(1+45%)</f>
        <v>39295</v>
      </c>
      <c r="G116" s="23">
        <v>2</v>
      </c>
    </row>
    <row r="117" spans="1:7" x14ac:dyDescent="0.25">
      <c r="A117" s="23">
        <v>115</v>
      </c>
      <c r="B117" s="23" t="s">
        <v>175</v>
      </c>
      <c r="C117" s="23" t="s">
        <v>174</v>
      </c>
      <c r="D117" s="23" t="s">
        <v>830</v>
      </c>
      <c r="E117" s="26">
        <v>1750</v>
      </c>
      <c r="F117" s="26">
        <f>Tabla1[[#This Row],[COSTO]]*(1+45%)</f>
        <v>2537.5</v>
      </c>
      <c r="G117" s="23">
        <v>15</v>
      </c>
    </row>
    <row r="118" spans="1:7" x14ac:dyDescent="0.25">
      <c r="A118" s="23">
        <v>116</v>
      </c>
      <c r="B118" s="23" t="s">
        <v>177</v>
      </c>
      <c r="C118" s="23" t="s">
        <v>176</v>
      </c>
      <c r="D118" s="23" t="s">
        <v>830</v>
      </c>
      <c r="E118" s="26">
        <v>1750</v>
      </c>
      <c r="F118" s="26">
        <f>Tabla1[[#This Row],[COSTO]]*(1+45%)</f>
        <v>2537.5</v>
      </c>
      <c r="G118" s="23">
        <v>15</v>
      </c>
    </row>
    <row r="119" spans="1:7" x14ac:dyDescent="0.25">
      <c r="A119" s="23">
        <v>117</v>
      </c>
      <c r="B119" s="23" t="s">
        <v>179</v>
      </c>
      <c r="C119" s="23" t="s">
        <v>178</v>
      </c>
      <c r="D119" s="23" t="s">
        <v>830</v>
      </c>
      <c r="E119" s="26">
        <v>1430</v>
      </c>
      <c r="F119" s="26">
        <f>Tabla1[[#This Row],[COSTO]]*(1+45%)</f>
        <v>2073.5</v>
      </c>
      <c r="G119" s="23">
        <v>3</v>
      </c>
    </row>
    <row r="120" spans="1:7" x14ac:dyDescent="0.25">
      <c r="A120" s="23">
        <v>118</v>
      </c>
      <c r="B120" s="23" t="s">
        <v>179</v>
      </c>
      <c r="C120" s="23" t="s">
        <v>180</v>
      </c>
      <c r="D120" s="23" t="s">
        <v>830</v>
      </c>
      <c r="E120" s="26">
        <v>1430</v>
      </c>
      <c r="F120" s="26">
        <f>Tabla1[[#This Row],[COSTO]]*(1+45%)</f>
        <v>2073.5</v>
      </c>
      <c r="G120" s="23">
        <v>1</v>
      </c>
    </row>
    <row r="121" spans="1:7" x14ac:dyDescent="0.25">
      <c r="A121" s="23">
        <v>119</v>
      </c>
      <c r="B121" s="23" t="s">
        <v>179</v>
      </c>
      <c r="C121" s="23" t="s">
        <v>181</v>
      </c>
      <c r="D121" s="23" t="s">
        <v>830</v>
      </c>
      <c r="E121" s="26">
        <v>1430</v>
      </c>
      <c r="F121" s="26">
        <f>Tabla1[[#This Row],[COSTO]]*(1+45%)</f>
        <v>2073.5</v>
      </c>
      <c r="G121" s="23">
        <v>3</v>
      </c>
    </row>
    <row r="122" spans="1:7" x14ac:dyDescent="0.25">
      <c r="A122" s="23">
        <v>120</v>
      </c>
      <c r="B122" s="23" t="s">
        <v>179</v>
      </c>
      <c r="C122" s="23" t="s">
        <v>182</v>
      </c>
      <c r="D122" s="23" t="s">
        <v>830</v>
      </c>
      <c r="E122" s="26">
        <v>1430</v>
      </c>
      <c r="F122" s="26">
        <f>Tabla1[[#This Row],[COSTO]]*(1+45%)</f>
        <v>2073.5</v>
      </c>
      <c r="G122" s="23">
        <v>3</v>
      </c>
    </row>
    <row r="123" spans="1:7" x14ac:dyDescent="0.25">
      <c r="A123" s="23">
        <v>121</v>
      </c>
      <c r="B123" s="23" t="s">
        <v>184</v>
      </c>
      <c r="C123" s="23" t="s">
        <v>183</v>
      </c>
      <c r="D123" s="23" t="s">
        <v>831</v>
      </c>
      <c r="E123" s="26">
        <v>6850</v>
      </c>
      <c r="F123" s="26">
        <f>Tabla1[[#This Row],[COSTO]]*(1+45%)</f>
        <v>9932.5</v>
      </c>
      <c r="G123" s="23">
        <v>1</v>
      </c>
    </row>
    <row r="124" spans="1:7" x14ac:dyDescent="0.25">
      <c r="A124" s="23">
        <v>122</v>
      </c>
      <c r="B124" s="23" t="s">
        <v>184</v>
      </c>
      <c r="C124" s="23" t="s">
        <v>185</v>
      </c>
      <c r="D124" s="23" t="s">
        <v>831</v>
      </c>
      <c r="E124" s="26">
        <v>6850</v>
      </c>
      <c r="F124" s="26">
        <f>Tabla1[[#This Row],[COSTO]]*(1+45%)</f>
        <v>9932.5</v>
      </c>
      <c r="G124" s="23">
        <v>1</v>
      </c>
    </row>
    <row r="125" spans="1:7" x14ac:dyDescent="0.25">
      <c r="A125" s="23">
        <v>123</v>
      </c>
      <c r="B125" s="23" t="s">
        <v>184</v>
      </c>
      <c r="C125" s="23" t="s">
        <v>186</v>
      </c>
      <c r="D125" s="23" t="s">
        <v>831</v>
      </c>
      <c r="E125" s="26">
        <v>6850</v>
      </c>
      <c r="F125" s="26">
        <f>Tabla1[[#This Row],[COSTO]]*(1+45%)</f>
        <v>9932.5</v>
      </c>
      <c r="G125" s="23">
        <v>1</v>
      </c>
    </row>
    <row r="126" spans="1:7" x14ac:dyDescent="0.25">
      <c r="A126" s="23">
        <v>124</v>
      </c>
      <c r="B126" s="23" t="s">
        <v>188</v>
      </c>
      <c r="C126" s="23" t="s">
        <v>187</v>
      </c>
      <c r="D126" s="23" t="s">
        <v>831</v>
      </c>
      <c r="E126" s="26">
        <v>11500</v>
      </c>
      <c r="F126" s="26">
        <f>Tabla1[[#This Row],[COSTO]]*(1+45%)</f>
        <v>16675</v>
      </c>
      <c r="G126" s="23">
        <v>3</v>
      </c>
    </row>
    <row r="127" spans="1:7" x14ac:dyDescent="0.25">
      <c r="A127" s="23">
        <v>125</v>
      </c>
      <c r="B127" s="23" t="s">
        <v>190</v>
      </c>
      <c r="C127" s="23" t="s">
        <v>189</v>
      </c>
      <c r="D127" s="23" t="s">
        <v>832</v>
      </c>
      <c r="E127" s="26">
        <v>6950</v>
      </c>
      <c r="F127" s="26">
        <f>Tabla1[[#This Row],[COSTO]]*(1+45%)</f>
        <v>10077.5</v>
      </c>
      <c r="G127" s="23">
        <v>1</v>
      </c>
    </row>
    <row r="128" spans="1:7" x14ac:dyDescent="0.25">
      <c r="A128" s="23">
        <v>126</v>
      </c>
      <c r="B128" s="23" t="s">
        <v>190</v>
      </c>
      <c r="C128" s="23" t="s">
        <v>191</v>
      </c>
      <c r="D128" s="23" t="s">
        <v>832</v>
      </c>
      <c r="E128" s="26">
        <v>6950</v>
      </c>
      <c r="F128" s="26">
        <f>Tabla1[[#This Row],[COSTO]]*(1+45%)</f>
        <v>10077.5</v>
      </c>
      <c r="G128" s="23">
        <v>1</v>
      </c>
    </row>
    <row r="129" spans="1:7" x14ac:dyDescent="0.25">
      <c r="A129" s="23">
        <v>127</v>
      </c>
      <c r="B129" s="23" t="s">
        <v>190</v>
      </c>
      <c r="C129" s="23" t="s">
        <v>192</v>
      </c>
      <c r="D129" s="23" t="s">
        <v>832</v>
      </c>
      <c r="E129" s="26">
        <v>6950</v>
      </c>
      <c r="F129" s="26">
        <f>Tabla1[[#This Row],[COSTO]]*(1+45%)</f>
        <v>10077.5</v>
      </c>
      <c r="G129" s="23">
        <v>1</v>
      </c>
    </row>
    <row r="130" spans="1:7" x14ac:dyDescent="0.25">
      <c r="A130" s="23">
        <v>128</v>
      </c>
      <c r="B130" s="23" t="s">
        <v>190</v>
      </c>
      <c r="C130" s="23" t="s">
        <v>193</v>
      </c>
      <c r="D130" s="23" t="s">
        <v>832</v>
      </c>
      <c r="E130" s="26">
        <v>6950</v>
      </c>
      <c r="F130" s="26">
        <f>Tabla1[[#This Row],[COSTO]]*(1+45%)</f>
        <v>10077.5</v>
      </c>
      <c r="G130" s="23">
        <v>1</v>
      </c>
    </row>
    <row r="131" spans="1:7" x14ac:dyDescent="0.25">
      <c r="A131" s="23">
        <v>129</v>
      </c>
      <c r="B131" s="23" t="s">
        <v>190</v>
      </c>
      <c r="C131" s="23" t="s">
        <v>194</v>
      </c>
      <c r="D131" s="23" t="s">
        <v>832</v>
      </c>
      <c r="E131" s="26">
        <v>6950</v>
      </c>
      <c r="F131" s="26">
        <f>Tabla1[[#This Row],[COSTO]]*(1+45%)</f>
        <v>10077.5</v>
      </c>
      <c r="G131" s="23">
        <v>1</v>
      </c>
    </row>
    <row r="132" spans="1:7" x14ac:dyDescent="0.25">
      <c r="A132" s="23">
        <v>130</v>
      </c>
      <c r="B132" s="23" t="s">
        <v>190</v>
      </c>
      <c r="C132" s="23" t="s">
        <v>195</v>
      </c>
      <c r="D132" s="23" t="s">
        <v>832</v>
      </c>
      <c r="E132" s="26">
        <v>6950</v>
      </c>
      <c r="F132" s="26">
        <f>Tabla1[[#This Row],[COSTO]]*(1+45%)</f>
        <v>10077.5</v>
      </c>
      <c r="G132" s="23">
        <v>1</v>
      </c>
    </row>
    <row r="133" spans="1:7" x14ac:dyDescent="0.25">
      <c r="A133" s="23">
        <v>131</v>
      </c>
      <c r="B133" s="23" t="s">
        <v>190</v>
      </c>
      <c r="C133" s="23" t="s">
        <v>196</v>
      </c>
      <c r="D133" s="23" t="s">
        <v>832</v>
      </c>
      <c r="E133" s="26">
        <v>6950</v>
      </c>
      <c r="F133" s="26">
        <f>Tabla1[[#This Row],[COSTO]]*(1+45%)</f>
        <v>10077.5</v>
      </c>
      <c r="G133" s="23">
        <v>1</v>
      </c>
    </row>
    <row r="134" spans="1:7" x14ac:dyDescent="0.25">
      <c r="A134" s="23">
        <v>132</v>
      </c>
      <c r="B134" s="23" t="s">
        <v>190</v>
      </c>
      <c r="C134" s="23" t="s">
        <v>197</v>
      </c>
      <c r="D134" s="23" t="s">
        <v>832</v>
      </c>
      <c r="E134" s="26">
        <v>6950</v>
      </c>
      <c r="F134" s="26">
        <f>Tabla1[[#This Row],[COSTO]]*(1+45%)</f>
        <v>10077.5</v>
      </c>
      <c r="G134" s="23">
        <v>1</v>
      </c>
    </row>
    <row r="135" spans="1:7" x14ac:dyDescent="0.25">
      <c r="A135" s="23">
        <v>133</v>
      </c>
      <c r="B135" s="23" t="s">
        <v>190</v>
      </c>
      <c r="C135" s="23" t="s">
        <v>198</v>
      </c>
      <c r="D135" s="23" t="s">
        <v>832</v>
      </c>
      <c r="E135" s="26">
        <v>6950</v>
      </c>
      <c r="F135" s="26">
        <f>Tabla1[[#This Row],[COSTO]]*(1+45%)</f>
        <v>10077.5</v>
      </c>
      <c r="G135" s="23">
        <v>0</v>
      </c>
    </row>
    <row r="136" spans="1:7" x14ac:dyDescent="0.25">
      <c r="A136" s="23">
        <v>134</v>
      </c>
      <c r="B136" s="23" t="s">
        <v>190</v>
      </c>
      <c r="C136" s="23" t="s">
        <v>199</v>
      </c>
      <c r="D136" s="23" t="s">
        <v>832</v>
      </c>
      <c r="E136" s="26">
        <v>6950</v>
      </c>
      <c r="F136" s="26">
        <f>Tabla1[[#This Row],[COSTO]]*(1+45%)</f>
        <v>10077.5</v>
      </c>
      <c r="G136" s="23">
        <v>0</v>
      </c>
    </row>
    <row r="137" spans="1:7" x14ac:dyDescent="0.25">
      <c r="A137" s="23">
        <v>135</v>
      </c>
      <c r="B137" s="23" t="s">
        <v>190</v>
      </c>
      <c r="C137" s="23" t="s">
        <v>200</v>
      </c>
      <c r="D137" s="23" t="s">
        <v>832</v>
      </c>
      <c r="E137" s="26">
        <v>6950</v>
      </c>
      <c r="F137" s="26">
        <f>Tabla1[[#This Row],[COSTO]]*(1+45%)</f>
        <v>10077.5</v>
      </c>
      <c r="G137" s="23">
        <v>0</v>
      </c>
    </row>
    <row r="138" spans="1:7" x14ac:dyDescent="0.25">
      <c r="A138" s="23">
        <v>136</v>
      </c>
      <c r="B138" s="23" t="s">
        <v>190</v>
      </c>
      <c r="C138" s="23" t="s">
        <v>201</v>
      </c>
      <c r="D138" s="23" t="s">
        <v>832</v>
      </c>
      <c r="E138" s="26">
        <v>6950</v>
      </c>
      <c r="F138" s="26">
        <f>Tabla1[[#This Row],[COSTO]]*(1+45%)</f>
        <v>10077.5</v>
      </c>
      <c r="G138" s="23">
        <v>0</v>
      </c>
    </row>
    <row r="139" spans="1:7" x14ac:dyDescent="0.25">
      <c r="A139" s="23">
        <v>137</v>
      </c>
      <c r="B139" s="23" t="s">
        <v>203</v>
      </c>
      <c r="C139" s="23" t="s">
        <v>202</v>
      </c>
      <c r="D139" s="23" t="s">
        <v>833</v>
      </c>
      <c r="E139" s="26">
        <v>150</v>
      </c>
      <c r="F139" s="26">
        <f>Tabla1[[#This Row],[COSTO]]*(1+45%)</f>
        <v>217.5</v>
      </c>
      <c r="G139" s="23">
        <v>100</v>
      </c>
    </row>
    <row r="140" spans="1:7" x14ac:dyDescent="0.25">
      <c r="A140" s="23">
        <v>138</v>
      </c>
      <c r="B140" s="23" t="s">
        <v>205</v>
      </c>
      <c r="C140" s="23" t="s">
        <v>204</v>
      </c>
      <c r="D140" s="23" t="s">
        <v>833</v>
      </c>
      <c r="E140" s="26">
        <v>170</v>
      </c>
      <c r="F140" s="26">
        <f>Tabla1[[#This Row],[COSTO]]*(1+45%)</f>
        <v>246.5</v>
      </c>
      <c r="G140" s="23">
        <v>100</v>
      </c>
    </row>
    <row r="141" spans="1:7" x14ac:dyDescent="0.25">
      <c r="A141" s="23">
        <v>139</v>
      </c>
      <c r="B141" s="23" t="s">
        <v>207</v>
      </c>
      <c r="C141" s="23" t="s">
        <v>206</v>
      </c>
      <c r="D141" s="23" t="s">
        <v>834</v>
      </c>
      <c r="E141" s="26">
        <v>3190</v>
      </c>
      <c r="F141" s="26">
        <f>Tabla1[[#This Row],[COSTO]]*(1+45%)</f>
        <v>4625.5</v>
      </c>
      <c r="G141" s="23">
        <v>5</v>
      </c>
    </row>
    <row r="142" spans="1:7" x14ac:dyDescent="0.25">
      <c r="A142" s="23">
        <v>140</v>
      </c>
      <c r="B142" s="23" t="s">
        <v>209</v>
      </c>
      <c r="C142" s="23" t="s">
        <v>208</v>
      </c>
      <c r="D142" s="23" t="s">
        <v>834</v>
      </c>
      <c r="E142" s="26">
        <v>47500</v>
      </c>
      <c r="F142" s="26">
        <f>Tabla1[[#This Row],[COSTO]]*(1+45%)</f>
        <v>68875</v>
      </c>
      <c r="G142" s="23">
        <v>2</v>
      </c>
    </row>
    <row r="143" spans="1:7" x14ac:dyDescent="0.25">
      <c r="A143" s="23">
        <v>141</v>
      </c>
      <c r="B143" s="23" t="s">
        <v>211</v>
      </c>
      <c r="C143" s="23" t="s">
        <v>210</v>
      </c>
      <c r="D143" s="23" t="s">
        <v>834</v>
      </c>
      <c r="E143" s="26">
        <v>12900</v>
      </c>
      <c r="F143" s="26">
        <f>Tabla1[[#This Row],[COSTO]]*(1+45%)</f>
        <v>18705</v>
      </c>
      <c r="G143" s="23">
        <v>2</v>
      </c>
    </row>
    <row r="144" spans="1:7" x14ac:dyDescent="0.25">
      <c r="A144" s="23">
        <v>142</v>
      </c>
      <c r="B144" s="23" t="s">
        <v>213</v>
      </c>
      <c r="C144" s="23" t="s">
        <v>212</v>
      </c>
      <c r="D144" s="23" t="s">
        <v>834</v>
      </c>
      <c r="E144" s="26">
        <v>33500</v>
      </c>
      <c r="F144" s="26">
        <f>Tabla1[[#This Row],[COSTO]]*(1+45%)</f>
        <v>48575</v>
      </c>
      <c r="G144" s="23">
        <v>2</v>
      </c>
    </row>
    <row r="145" spans="1:7" x14ac:dyDescent="0.25">
      <c r="A145" s="23">
        <v>143</v>
      </c>
      <c r="B145" s="23" t="s">
        <v>798</v>
      </c>
      <c r="C145" s="23" t="s">
        <v>779</v>
      </c>
      <c r="D145" s="23" t="s">
        <v>834</v>
      </c>
      <c r="E145" s="26">
        <v>33500</v>
      </c>
      <c r="F145" s="26">
        <f>Tabla1[[#This Row],[COSTO]]*(1+45%)</f>
        <v>48575</v>
      </c>
      <c r="G145" s="23">
        <v>1</v>
      </c>
    </row>
    <row r="146" spans="1:7" x14ac:dyDescent="0.25">
      <c r="A146" s="23">
        <v>144</v>
      </c>
      <c r="B146" s="23" t="s">
        <v>215</v>
      </c>
      <c r="C146" s="23" t="s">
        <v>214</v>
      </c>
      <c r="D146" s="23" t="s">
        <v>834</v>
      </c>
      <c r="E146" s="26">
        <v>2450</v>
      </c>
      <c r="F146" s="26">
        <f>Tabla1[[#This Row],[COSTO]]*(1+45%)</f>
        <v>3552.5</v>
      </c>
      <c r="G146" s="23">
        <v>5</v>
      </c>
    </row>
    <row r="147" spans="1:7" x14ac:dyDescent="0.25">
      <c r="A147" s="23">
        <v>145</v>
      </c>
      <c r="B147" s="23" t="s">
        <v>217</v>
      </c>
      <c r="C147" s="23" t="s">
        <v>216</v>
      </c>
      <c r="D147" s="23" t="s">
        <v>834</v>
      </c>
      <c r="E147" s="26">
        <v>14900</v>
      </c>
      <c r="F147" s="26">
        <f>Tabla1[[#This Row],[COSTO]]*(1+45%)</f>
        <v>21605</v>
      </c>
      <c r="G147" s="23">
        <v>2</v>
      </c>
    </row>
    <row r="148" spans="1:7" x14ac:dyDescent="0.25">
      <c r="A148" s="23">
        <v>146</v>
      </c>
      <c r="B148" s="23" t="s">
        <v>219</v>
      </c>
      <c r="C148" s="23" t="s">
        <v>218</v>
      </c>
      <c r="D148" s="23" t="s">
        <v>834</v>
      </c>
      <c r="E148" s="26">
        <v>14900</v>
      </c>
      <c r="F148" s="26">
        <f>Tabla1[[#This Row],[COSTO]]*(1+45%)</f>
        <v>21605</v>
      </c>
      <c r="G148" s="23">
        <v>3</v>
      </c>
    </row>
    <row r="149" spans="1:7" x14ac:dyDescent="0.25">
      <c r="A149" s="23">
        <v>147</v>
      </c>
      <c r="B149" s="23" t="s">
        <v>221</v>
      </c>
      <c r="C149" s="23" t="s">
        <v>220</v>
      </c>
      <c r="D149" s="23" t="s">
        <v>834</v>
      </c>
      <c r="E149" s="26">
        <v>3350</v>
      </c>
      <c r="F149" s="26">
        <f>Tabla1[[#This Row],[COSTO]]*(1+45%)</f>
        <v>4857.5</v>
      </c>
      <c r="G149" s="23">
        <v>4</v>
      </c>
    </row>
    <row r="150" spans="1:7" x14ac:dyDescent="0.25">
      <c r="A150" s="23">
        <v>148</v>
      </c>
      <c r="B150" s="23" t="s">
        <v>223</v>
      </c>
      <c r="C150" s="23" t="s">
        <v>222</v>
      </c>
      <c r="D150" s="23" t="s">
        <v>834</v>
      </c>
      <c r="E150" s="26">
        <v>3790</v>
      </c>
      <c r="F150" s="26">
        <f>Tabla1[[#This Row],[COSTO]]*(1+45%)</f>
        <v>5495.5</v>
      </c>
      <c r="G150" s="23">
        <v>4</v>
      </c>
    </row>
    <row r="151" spans="1:7" x14ac:dyDescent="0.25">
      <c r="A151" s="23">
        <v>149</v>
      </c>
      <c r="B151" s="23" t="s">
        <v>225</v>
      </c>
      <c r="C151" s="23" t="s">
        <v>224</v>
      </c>
      <c r="D151" s="23" t="s">
        <v>834</v>
      </c>
      <c r="E151" s="26">
        <v>3950</v>
      </c>
      <c r="F151" s="26">
        <f>Tabla1[[#This Row],[COSTO]]*(1+45%)</f>
        <v>5727.5</v>
      </c>
      <c r="G151" s="23">
        <v>6</v>
      </c>
    </row>
    <row r="152" spans="1:7" x14ac:dyDescent="0.25">
      <c r="A152" s="23">
        <v>150</v>
      </c>
      <c r="B152" s="23" t="s">
        <v>227</v>
      </c>
      <c r="C152" s="23" t="s">
        <v>226</v>
      </c>
      <c r="D152" s="23" t="s">
        <v>834</v>
      </c>
      <c r="E152" s="26">
        <v>26900</v>
      </c>
      <c r="F152" s="26">
        <f>Tabla1[[#This Row],[COSTO]]*(1+45%)</f>
        <v>39005</v>
      </c>
      <c r="G152" s="23">
        <v>4</v>
      </c>
    </row>
    <row r="153" spans="1:7" x14ac:dyDescent="0.25">
      <c r="A153" s="23">
        <v>151</v>
      </c>
      <c r="B153" s="23" t="s">
        <v>229</v>
      </c>
      <c r="C153" s="23" t="s">
        <v>228</v>
      </c>
      <c r="D153" s="23" t="s">
        <v>834</v>
      </c>
      <c r="E153" s="26">
        <v>17500</v>
      </c>
      <c r="F153" s="26">
        <f>Tabla1[[#This Row],[COSTO]]*(1+45%)</f>
        <v>25375</v>
      </c>
      <c r="G153" s="23">
        <v>0</v>
      </c>
    </row>
    <row r="154" spans="1:7" x14ac:dyDescent="0.25">
      <c r="A154" s="23">
        <v>152</v>
      </c>
      <c r="B154" s="23" t="s">
        <v>231</v>
      </c>
      <c r="C154" s="23" t="s">
        <v>230</v>
      </c>
      <c r="D154" s="23" t="s">
        <v>834</v>
      </c>
      <c r="E154" s="26">
        <v>59900</v>
      </c>
      <c r="F154" s="26">
        <f>Tabla1[[#This Row],[COSTO]]*(1+45%)</f>
        <v>86855</v>
      </c>
      <c r="G154" s="23">
        <v>4</v>
      </c>
    </row>
    <row r="155" spans="1:7" x14ac:dyDescent="0.25">
      <c r="A155" s="23">
        <v>153</v>
      </c>
      <c r="B155" s="23" t="s">
        <v>233</v>
      </c>
      <c r="C155" s="23" t="s">
        <v>232</v>
      </c>
      <c r="D155" s="23" t="s">
        <v>834</v>
      </c>
      <c r="E155" s="26">
        <v>105500</v>
      </c>
      <c r="F155" s="26">
        <f>Tabla1[[#This Row],[COSTO]]*(1+45%)</f>
        <v>152975</v>
      </c>
      <c r="G155" s="23">
        <v>1</v>
      </c>
    </row>
    <row r="156" spans="1:7" x14ac:dyDescent="0.25">
      <c r="A156" s="23">
        <v>154</v>
      </c>
      <c r="B156" s="23" t="s">
        <v>235</v>
      </c>
      <c r="C156" s="23" t="s">
        <v>234</v>
      </c>
      <c r="D156" s="23" t="s">
        <v>834</v>
      </c>
      <c r="E156" s="26">
        <v>10700</v>
      </c>
      <c r="F156" s="26">
        <f>Tabla1[[#This Row],[COSTO]]*(1+45%)</f>
        <v>15515</v>
      </c>
      <c r="G156" s="23">
        <v>4</v>
      </c>
    </row>
    <row r="157" spans="1:7" x14ac:dyDescent="0.25">
      <c r="A157" s="23">
        <v>155</v>
      </c>
      <c r="B157" s="23" t="s">
        <v>237</v>
      </c>
      <c r="C157" s="23" t="s">
        <v>236</v>
      </c>
      <c r="D157" s="23" t="s">
        <v>835</v>
      </c>
      <c r="E157" s="26">
        <v>6050</v>
      </c>
      <c r="F157" s="26">
        <f>Tabla1[[#This Row],[COSTO]]*(1+45%)</f>
        <v>8772.5</v>
      </c>
      <c r="G157" s="23">
        <v>3</v>
      </c>
    </row>
    <row r="158" spans="1:7" x14ac:dyDescent="0.25">
      <c r="A158" s="23">
        <v>156</v>
      </c>
      <c r="B158" s="23" t="s">
        <v>239</v>
      </c>
      <c r="C158" s="23" t="s">
        <v>238</v>
      </c>
      <c r="D158" s="23" t="s">
        <v>836</v>
      </c>
      <c r="E158" s="26">
        <v>1800</v>
      </c>
      <c r="F158" s="26">
        <f>Tabla1[[#This Row],[COSTO]]*(1+45%)</f>
        <v>2610</v>
      </c>
      <c r="G158" s="23">
        <v>5</v>
      </c>
    </row>
    <row r="159" spans="1:7" x14ac:dyDescent="0.25">
      <c r="A159" s="23">
        <v>157</v>
      </c>
      <c r="B159" s="23" t="s">
        <v>241</v>
      </c>
      <c r="C159" s="23" t="s">
        <v>240</v>
      </c>
      <c r="D159" s="23" t="s">
        <v>836</v>
      </c>
      <c r="E159" s="26">
        <v>2120</v>
      </c>
      <c r="F159" s="26">
        <f>Tabla1[[#This Row],[COSTO]]*(1+45%)</f>
        <v>3074</v>
      </c>
      <c r="G159" s="23">
        <v>5</v>
      </c>
    </row>
    <row r="160" spans="1:7" x14ac:dyDescent="0.25">
      <c r="A160" s="23">
        <v>158</v>
      </c>
      <c r="B160" s="23" t="s">
        <v>243</v>
      </c>
      <c r="C160" s="23" t="s">
        <v>242</v>
      </c>
      <c r="D160" s="23" t="s">
        <v>836</v>
      </c>
      <c r="E160" s="26">
        <v>1250</v>
      </c>
      <c r="F160" s="26">
        <f>Tabla1[[#This Row],[COSTO]]*(1+45%)</f>
        <v>1812.5</v>
      </c>
      <c r="G160" s="23">
        <v>20</v>
      </c>
    </row>
    <row r="161" spans="1:7" x14ac:dyDescent="0.25">
      <c r="A161" s="23">
        <v>159</v>
      </c>
      <c r="B161" s="23" t="s">
        <v>245</v>
      </c>
      <c r="C161" s="23" t="s">
        <v>244</v>
      </c>
      <c r="D161" s="23" t="s">
        <v>836</v>
      </c>
      <c r="E161" s="26">
        <v>4700</v>
      </c>
      <c r="F161" s="26">
        <f>Tabla1[[#This Row],[COSTO]]*(1+45%)</f>
        <v>6815</v>
      </c>
      <c r="G161" s="23">
        <v>4</v>
      </c>
    </row>
    <row r="162" spans="1:7" x14ac:dyDescent="0.25">
      <c r="A162" s="23">
        <v>160</v>
      </c>
      <c r="B162" s="23" t="s">
        <v>247</v>
      </c>
      <c r="C162" s="23" t="s">
        <v>246</v>
      </c>
      <c r="D162" s="23" t="s">
        <v>836</v>
      </c>
      <c r="E162" s="26">
        <v>2700</v>
      </c>
      <c r="F162" s="26">
        <f>Tabla1[[#This Row],[COSTO]]*(1+45%)</f>
        <v>3915</v>
      </c>
      <c r="G162" s="23">
        <v>20</v>
      </c>
    </row>
    <row r="163" spans="1:7" x14ac:dyDescent="0.25">
      <c r="A163" s="23">
        <v>161</v>
      </c>
      <c r="B163" s="23" t="s">
        <v>249</v>
      </c>
      <c r="C163" s="23" t="s">
        <v>248</v>
      </c>
      <c r="D163" s="23" t="s">
        <v>836</v>
      </c>
      <c r="E163" s="26">
        <v>1390</v>
      </c>
      <c r="F163" s="26">
        <f>Tabla1[[#This Row],[COSTO]]*(1+45%)</f>
        <v>2015.5</v>
      </c>
      <c r="G163" s="23">
        <v>15</v>
      </c>
    </row>
    <row r="164" spans="1:7" x14ac:dyDescent="0.25">
      <c r="A164" s="23">
        <v>162</v>
      </c>
      <c r="B164" s="23" t="s">
        <v>251</v>
      </c>
      <c r="C164" s="23" t="s">
        <v>250</v>
      </c>
      <c r="D164" s="23" t="s">
        <v>836</v>
      </c>
      <c r="E164" s="26">
        <v>4950</v>
      </c>
      <c r="F164" s="26">
        <f>Tabla1[[#This Row],[COSTO]]*(1+45%)</f>
        <v>7177.5</v>
      </c>
      <c r="G164" s="23">
        <v>4</v>
      </c>
    </row>
    <row r="165" spans="1:7" x14ac:dyDescent="0.25">
      <c r="A165" s="23">
        <v>163</v>
      </c>
      <c r="B165" s="23" t="s">
        <v>253</v>
      </c>
      <c r="C165" s="23" t="s">
        <v>252</v>
      </c>
      <c r="D165" s="23" t="s">
        <v>836</v>
      </c>
      <c r="E165" s="26">
        <v>3280</v>
      </c>
      <c r="F165" s="26">
        <f>Tabla1[[#This Row],[COSTO]]*(1+45%)</f>
        <v>4756</v>
      </c>
      <c r="G165" s="23">
        <v>10</v>
      </c>
    </row>
    <row r="166" spans="1:7" x14ac:dyDescent="0.25">
      <c r="A166" s="23">
        <v>164</v>
      </c>
      <c r="B166" s="23" t="s">
        <v>255</v>
      </c>
      <c r="C166" s="23" t="s">
        <v>254</v>
      </c>
      <c r="D166" s="23" t="s">
        <v>836</v>
      </c>
      <c r="E166" s="26">
        <v>3390</v>
      </c>
      <c r="F166" s="26">
        <f>Tabla1[[#This Row],[COSTO]]*(1+45%)</f>
        <v>4915.5</v>
      </c>
      <c r="G166" s="23">
        <v>20</v>
      </c>
    </row>
    <row r="167" spans="1:7" x14ac:dyDescent="0.25">
      <c r="A167" s="23">
        <v>165</v>
      </c>
      <c r="B167" s="23" t="s">
        <v>257</v>
      </c>
      <c r="C167" s="23" t="s">
        <v>256</v>
      </c>
      <c r="D167" s="23" t="s">
        <v>837</v>
      </c>
      <c r="E167" s="26">
        <v>450</v>
      </c>
      <c r="F167" s="26">
        <f>Tabla1[[#This Row],[COSTO]]*(1+45%)</f>
        <v>652.5</v>
      </c>
      <c r="G167" s="23">
        <v>45</v>
      </c>
    </row>
    <row r="168" spans="1:7" x14ac:dyDescent="0.25">
      <c r="A168" s="23">
        <v>166</v>
      </c>
      <c r="B168" s="23" t="s">
        <v>259</v>
      </c>
      <c r="C168" s="23" t="s">
        <v>258</v>
      </c>
      <c r="D168" s="23" t="s">
        <v>837</v>
      </c>
      <c r="E168" s="26">
        <v>2550</v>
      </c>
      <c r="F168" s="26">
        <f>Tabla1[[#This Row],[COSTO]]*(1+45%)</f>
        <v>3697.5</v>
      </c>
      <c r="G168" s="23">
        <v>10</v>
      </c>
    </row>
    <row r="169" spans="1:7" x14ac:dyDescent="0.25">
      <c r="A169" s="23">
        <v>167</v>
      </c>
      <c r="B169" s="23" t="s">
        <v>261</v>
      </c>
      <c r="C169" s="23" t="s">
        <v>260</v>
      </c>
      <c r="D169" s="23" t="s">
        <v>838</v>
      </c>
      <c r="E169" s="26">
        <v>5550</v>
      </c>
      <c r="F169" s="26">
        <f>Tabla1[[#This Row],[COSTO]]*(1+45%)</f>
        <v>8047.5</v>
      </c>
      <c r="G169" s="23">
        <v>2</v>
      </c>
    </row>
    <row r="170" spans="1:7" x14ac:dyDescent="0.25">
      <c r="A170" s="23">
        <v>168</v>
      </c>
      <c r="B170" s="23" t="s">
        <v>263</v>
      </c>
      <c r="C170" s="23" t="s">
        <v>262</v>
      </c>
      <c r="D170" s="23" t="s">
        <v>839</v>
      </c>
      <c r="E170" s="26">
        <v>390</v>
      </c>
      <c r="F170" s="26">
        <f>Tabla1[[#This Row],[COSTO]]*(1+45%)</f>
        <v>565.5</v>
      </c>
      <c r="G170" s="23">
        <v>25</v>
      </c>
    </row>
    <row r="171" spans="1:7" x14ac:dyDescent="0.25">
      <c r="A171" s="23">
        <v>169</v>
      </c>
      <c r="B171" s="23" t="s">
        <v>265</v>
      </c>
      <c r="C171" s="23" t="s">
        <v>264</v>
      </c>
      <c r="D171" s="23" t="s">
        <v>839</v>
      </c>
      <c r="E171" s="26">
        <v>850</v>
      </c>
      <c r="F171" s="26">
        <f>Tabla1[[#This Row],[COSTO]]*(1+45%)</f>
        <v>1232.5</v>
      </c>
      <c r="G171" s="23">
        <v>10</v>
      </c>
    </row>
    <row r="172" spans="1:7" x14ac:dyDescent="0.25">
      <c r="A172" s="23">
        <v>170</v>
      </c>
      <c r="B172" s="23" t="s">
        <v>267</v>
      </c>
      <c r="C172" s="23" t="s">
        <v>266</v>
      </c>
      <c r="D172" s="23" t="s">
        <v>840</v>
      </c>
      <c r="E172" s="26">
        <v>470</v>
      </c>
      <c r="F172" s="26">
        <f>Tabla1[[#This Row],[COSTO]]*(1+45%)</f>
        <v>681.5</v>
      </c>
      <c r="G172" s="23">
        <v>100</v>
      </c>
    </row>
    <row r="173" spans="1:7" x14ac:dyDescent="0.25">
      <c r="A173" s="23">
        <v>171</v>
      </c>
      <c r="B173" s="23" t="s">
        <v>269</v>
      </c>
      <c r="C173" s="23" t="s">
        <v>268</v>
      </c>
      <c r="D173" s="23" t="s">
        <v>840</v>
      </c>
      <c r="E173" s="26">
        <v>420</v>
      </c>
      <c r="F173" s="26">
        <f>Tabla1[[#This Row],[COSTO]]*(1+45%)</f>
        <v>609</v>
      </c>
      <c r="G173" s="23">
        <v>200</v>
      </c>
    </row>
    <row r="174" spans="1:7" x14ac:dyDescent="0.25">
      <c r="A174" s="23">
        <v>172</v>
      </c>
      <c r="B174" s="23" t="s">
        <v>271</v>
      </c>
      <c r="C174" s="23" t="s">
        <v>270</v>
      </c>
      <c r="D174" s="23" t="s">
        <v>841</v>
      </c>
      <c r="E174" s="26">
        <v>8800</v>
      </c>
      <c r="F174" s="26">
        <f>Tabla1[[#This Row],[COSTO]]*(1+45%)</f>
        <v>12760</v>
      </c>
      <c r="G174" s="23">
        <v>3</v>
      </c>
    </row>
    <row r="175" spans="1:7" x14ac:dyDescent="0.25">
      <c r="A175" s="23">
        <v>173</v>
      </c>
      <c r="B175" s="23" t="s">
        <v>271</v>
      </c>
      <c r="C175" s="23" t="s">
        <v>272</v>
      </c>
      <c r="D175" s="23" t="s">
        <v>841</v>
      </c>
      <c r="E175" s="26">
        <v>8800</v>
      </c>
      <c r="F175" s="26">
        <f>Tabla1[[#This Row],[COSTO]]*(1+45%)</f>
        <v>12760</v>
      </c>
      <c r="G175" s="23">
        <v>3</v>
      </c>
    </row>
    <row r="176" spans="1:7" x14ac:dyDescent="0.25">
      <c r="A176" s="23">
        <v>174</v>
      </c>
      <c r="B176" s="23" t="s">
        <v>271</v>
      </c>
      <c r="C176" s="23" t="s">
        <v>273</v>
      </c>
      <c r="D176" s="23" t="s">
        <v>841</v>
      </c>
      <c r="E176" s="26">
        <v>8800</v>
      </c>
      <c r="F176" s="26">
        <f>Tabla1[[#This Row],[COSTO]]*(1+45%)</f>
        <v>12760</v>
      </c>
      <c r="G176" s="23">
        <v>3</v>
      </c>
    </row>
    <row r="177" spans="1:7" x14ac:dyDescent="0.25">
      <c r="A177" s="23">
        <v>175</v>
      </c>
      <c r="B177" s="23" t="s">
        <v>799</v>
      </c>
      <c r="C177" s="23" t="s">
        <v>785</v>
      </c>
      <c r="D177" s="23" t="s">
        <v>841</v>
      </c>
      <c r="E177" s="26">
        <v>4050</v>
      </c>
      <c r="F177" s="26">
        <f>Tabla1[[#This Row],[COSTO]]*(1+45%)</f>
        <v>5872.5</v>
      </c>
      <c r="G177" s="23">
        <v>5</v>
      </c>
    </row>
    <row r="178" spans="1:7" x14ac:dyDescent="0.25">
      <c r="A178" s="23">
        <v>176</v>
      </c>
      <c r="B178" s="23" t="s">
        <v>799</v>
      </c>
      <c r="C178" s="23" t="s">
        <v>788</v>
      </c>
      <c r="D178" s="23" t="s">
        <v>841</v>
      </c>
      <c r="E178" s="26">
        <v>4050</v>
      </c>
      <c r="F178" s="26">
        <f>Tabla1[[#This Row],[COSTO]]*(1+45%)</f>
        <v>5872.5</v>
      </c>
      <c r="G178" s="23">
        <v>1</v>
      </c>
    </row>
    <row r="179" spans="1:7" x14ac:dyDescent="0.25">
      <c r="A179" s="23">
        <v>177</v>
      </c>
      <c r="B179" s="23" t="s">
        <v>799</v>
      </c>
      <c r="C179" s="23" t="s">
        <v>790</v>
      </c>
      <c r="D179" s="23" t="s">
        <v>841</v>
      </c>
      <c r="E179" s="26">
        <v>4050</v>
      </c>
      <c r="F179" s="26">
        <f>Tabla1[[#This Row],[COSTO]]*(1+45%)</f>
        <v>5872.5</v>
      </c>
      <c r="G179" s="23">
        <v>1</v>
      </c>
    </row>
    <row r="180" spans="1:7" x14ac:dyDescent="0.25">
      <c r="A180" s="23">
        <v>178</v>
      </c>
      <c r="B180" s="23" t="s">
        <v>799</v>
      </c>
      <c r="C180" s="23" t="s">
        <v>791</v>
      </c>
      <c r="D180" s="23" t="s">
        <v>841</v>
      </c>
      <c r="E180" s="26">
        <v>4050</v>
      </c>
      <c r="F180" s="26">
        <f>Tabla1[[#This Row],[COSTO]]*(1+45%)</f>
        <v>5872.5</v>
      </c>
      <c r="G180" s="23">
        <v>0</v>
      </c>
    </row>
    <row r="181" spans="1:7" x14ac:dyDescent="0.25">
      <c r="A181" s="23">
        <v>179</v>
      </c>
      <c r="B181" s="23" t="s">
        <v>799</v>
      </c>
      <c r="C181" s="23" t="s">
        <v>792</v>
      </c>
      <c r="D181" s="23" t="s">
        <v>841</v>
      </c>
      <c r="E181" s="26">
        <v>4050</v>
      </c>
      <c r="F181" s="26">
        <f>Tabla1[[#This Row],[COSTO]]*(1+45%)</f>
        <v>5872.5</v>
      </c>
      <c r="G181" s="23">
        <v>1</v>
      </c>
    </row>
    <row r="182" spans="1:7" x14ac:dyDescent="0.25">
      <c r="A182" s="23">
        <v>180</v>
      </c>
      <c r="B182" s="23" t="s">
        <v>799</v>
      </c>
      <c r="C182" s="23" t="s">
        <v>793</v>
      </c>
      <c r="D182" s="23" t="s">
        <v>841</v>
      </c>
      <c r="E182" s="26">
        <v>4050</v>
      </c>
      <c r="F182" s="26">
        <f>Tabla1[[#This Row],[COSTO]]*(1+45%)</f>
        <v>5872.5</v>
      </c>
      <c r="G182" s="23">
        <v>1</v>
      </c>
    </row>
    <row r="183" spans="1:7" x14ac:dyDescent="0.25">
      <c r="A183" s="23">
        <v>181</v>
      </c>
      <c r="B183" s="23" t="s">
        <v>800</v>
      </c>
      <c r="C183" s="23" t="s">
        <v>789</v>
      </c>
      <c r="D183" s="23" t="s">
        <v>841</v>
      </c>
      <c r="E183" s="26">
        <v>4050</v>
      </c>
      <c r="F183" s="26">
        <f>Tabla1[[#This Row],[COSTO]]*(1+45%)</f>
        <v>5872.5</v>
      </c>
      <c r="G183" s="23">
        <v>1</v>
      </c>
    </row>
    <row r="184" spans="1:7" x14ac:dyDescent="0.25">
      <c r="A184" s="23">
        <v>182</v>
      </c>
      <c r="B184" s="23" t="s">
        <v>275</v>
      </c>
      <c r="C184" s="23" t="s">
        <v>274</v>
      </c>
      <c r="D184" s="23" t="s">
        <v>841</v>
      </c>
      <c r="E184" s="26">
        <v>1300</v>
      </c>
      <c r="F184" s="26">
        <f>Tabla1[[#This Row],[COSTO]]*(1+45%)</f>
        <v>1885</v>
      </c>
      <c r="G184" s="23">
        <v>5</v>
      </c>
    </row>
    <row r="185" spans="1:7" x14ac:dyDescent="0.25">
      <c r="A185" s="23">
        <v>183</v>
      </c>
      <c r="B185" s="23" t="s">
        <v>275</v>
      </c>
      <c r="C185" s="23" t="s">
        <v>276</v>
      </c>
      <c r="D185" s="23" t="s">
        <v>841</v>
      </c>
      <c r="E185" s="26">
        <v>1300</v>
      </c>
      <c r="F185" s="26">
        <f>Tabla1[[#This Row],[COSTO]]*(1+45%)</f>
        <v>1885</v>
      </c>
      <c r="G185" s="23">
        <v>5</v>
      </c>
    </row>
    <row r="186" spans="1:7" x14ac:dyDescent="0.25">
      <c r="A186" s="23">
        <v>184</v>
      </c>
      <c r="B186" s="23" t="s">
        <v>275</v>
      </c>
      <c r="C186" s="23" t="s">
        <v>277</v>
      </c>
      <c r="D186" s="23" t="s">
        <v>841</v>
      </c>
      <c r="E186" s="26">
        <v>1300</v>
      </c>
      <c r="F186" s="26">
        <f>Tabla1[[#This Row],[COSTO]]*(1+45%)</f>
        <v>1885</v>
      </c>
      <c r="G186" s="23">
        <v>4</v>
      </c>
    </row>
    <row r="187" spans="1:7" x14ac:dyDescent="0.25">
      <c r="A187" s="23">
        <v>185</v>
      </c>
      <c r="B187" s="23" t="s">
        <v>275</v>
      </c>
      <c r="C187" s="23" t="s">
        <v>278</v>
      </c>
      <c r="D187" s="23" t="s">
        <v>841</v>
      </c>
      <c r="E187" s="26">
        <v>1300</v>
      </c>
      <c r="F187" s="26">
        <f>Tabla1[[#This Row],[COSTO]]*(1+45%)</f>
        <v>1885</v>
      </c>
      <c r="G187" s="23">
        <v>4</v>
      </c>
    </row>
    <row r="188" spans="1:7" x14ac:dyDescent="0.25">
      <c r="A188" s="23">
        <v>186</v>
      </c>
      <c r="B188" s="23" t="s">
        <v>275</v>
      </c>
      <c r="C188" s="23" t="s">
        <v>279</v>
      </c>
      <c r="D188" s="23" t="s">
        <v>841</v>
      </c>
      <c r="E188" s="26">
        <v>1300</v>
      </c>
      <c r="F188" s="26">
        <f>Tabla1[[#This Row],[COSTO]]*(1+45%)</f>
        <v>1885</v>
      </c>
      <c r="G188" s="23">
        <v>2</v>
      </c>
    </row>
    <row r="189" spans="1:7" x14ac:dyDescent="0.25">
      <c r="A189" s="23">
        <v>187</v>
      </c>
      <c r="B189" s="23" t="s">
        <v>275</v>
      </c>
      <c r="C189" s="23" t="s">
        <v>280</v>
      </c>
      <c r="D189" s="23" t="s">
        <v>841</v>
      </c>
      <c r="E189" s="26">
        <v>1300</v>
      </c>
      <c r="F189" s="26">
        <f>Tabla1[[#This Row],[COSTO]]*(1+45%)</f>
        <v>1885</v>
      </c>
      <c r="G189" s="23">
        <v>0</v>
      </c>
    </row>
    <row r="190" spans="1:7" x14ac:dyDescent="0.25">
      <c r="A190" s="23">
        <v>188</v>
      </c>
      <c r="B190" s="23" t="s">
        <v>282</v>
      </c>
      <c r="C190" s="23" t="s">
        <v>281</v>
      </c>
      <c r="D190" s="23" t="s">
        <v>841</v>
      </c>
      <c r="E190" s="26">
        <v>1290</v>
      </c>
      <c r="F190" s="26">
        <f>Tabla1[[#This Row],[COSTO]]*(1+45%)</f>
        <v>1870.5</v>
      </c>
      <c r="G190" s="23">
        <v>0</v>
      </c>
    </row>
    <row r="191" spans="1:7" x14ac:dyDescent="0.25">
      <c r="A191" s="23">
        <v>189</v>
      </c>
      <c r="B191" s="23" t="s">
        <v>284</v>
      </c>
      <c r="C191" s="23" t="s">
        <v>283</v>
      </c>
      <c r="D191" s="23" t="s">
        <v>841</v>
      </c>
      <c r="E191" s="26">
        <v>1150</v>
      </c>
      <c r="F191" s="26">
        <f>Tabla1[[#This Row],[COSTO]]*(1+45%)</f>
        <v>1667.5</v>
      </c>
      <c r="G191" s="23">
        <v>10</v>
      </c>
    </row>
    <row r="192" spans="1:7" x14ac:dyDescent="0.25">
      <c r="A192" s="23">
        <v>190</v>
      </c>
      <c r="B192" s="23" t="s">
        <v>286</v>
      </c>
      <c r="C192" s="23" t="s">
        <v>285</v>
      </c>
      <c r="D192" s="23" t="s">
        <v>841</v>
      </c>
      <c r="E192" s="26">
        <v>8750</v>
      </c>
      <c r="F192" s="26">
        <f>Tabla1[[#This Row],[COSTO]]*(1+45%)</f>
        <v>12687.5</v>
      </c>
      <c r="G192" s="23">
        <v>2</v>
      </c>
    </row>
    <row r="193" spans="1:7" x14ac:dyDescent="0.25">
      <c r="A193" s="23">
        <v>191</v>
      </c>
      <c r="B193" s="23" t="s">
        <v>288</v>
      </c>
      <c r="C193" s="23" t="s">
        <v>287</v>
      </c>
      <c r="D193" s="23" t="s">
        <v>841</v>
      </c>
      <c r="E193" s="26">
        <v>930</v>
      </c>
      <c r="F193" s="26">
        <f>Tabla1[[#This Row],[COSTO]]*(1+45%)</f>
        <v>1348.5</v>
      </c>
      <c r="G193" s="23">
        <v>15</v>
      </c>
    </row>
    <row r="194" spans="1:7" x14ac:dyDescent="0.25">
      <c r="A194" s="23">
        <v>192</v>
      </c>
      <c r="B194" s="23" t="s">
        <v>290</v>
      </c>
      <c r="C194" s="23" t="s">
        <v>289</v>
      </c>
      <c r="D194" s="23" t="s">
        <v>841</v>
      </c>
      <c r="E194" s="26">
        <v>1450</v>
      </c>
      <c r="F194" s="26">
        <f>Tabla1[[#This Row],[COSTO]]*(1+45%)</f>
        <v>2102.5</v>
      </c>
      <c r="G194" s="23">
        <v>6</v>
      </c>
    </row>
    <row r="195" spans="1:7" x14ac:dyDescent="0.25">
      <c r="A195" s="23">
        <v>193</v>
      </c>
      <c r="B195" s="23" t="s">
        <v>290</v>
      </c>
      <c r="C195" s="23" t="s">
        <v>291</v>
      </c>
      <c r="D195" s="23" t="s">
        <v>841</v>
      </c>
      <c r="E195" s="26">
        <v>1450</v>
      </c>
      <c r="F195" s="26">
        <f>Tabla1[[#This Row],[COSTO]]*(1+45%)</f>
        <v>2102.5</v>
      </c>
      <c r="G195" s="23">
        <v>2</v>
      </c>
    </row>
    <row r="196" spans="1:7" x14ac:dyDescent="0.25">
      <c r="A196" s="23">
        <v>194</v>
      </c>
      <c r="B196" s="23" t="s">
        <v>290</v>
      </c>
      <c r="C196" s="23" t="s">
        <v>292</v>
      </c>
      <c r="D196" s="23" t="s">
        <v>841</v>
      </c>
      <c r="E196" s="26">
        <v>1450</v>
      </c>
      <c r="F196" s="26">
        <f>Tabla1[[#This Row],[COSTO]]*(1+45%)</f>
        <v>2102.5</v>
      </c>
      <c r="G196" s="23">
        <v>1</v>
      </c>
    </row>
    <row r="197" spans="1:7" x14ac:dyDescent="0.25">
      <c r="A197" s="23">
        <v>195</v>
      </c>
      <c r="B197" s="23" t="s">
        <v>290</v>
      </c>
      <c r="C197" s="23" t="s">
        <v>293</v>
      </c>
      <c r="D197" s="23" t="s">
        <v>841</v>
      </c>
      <c r="E197" s="26">
        <v>1450</v>
      </c>
      <c r="F197" s="26">
        <f>Tabla1[[#This Row],[COSTO]]*(1+45%)</f>
        <v>2102.5</v>
      </c>
      <c r="G197" s="23">
        <v>2</v>
      </c>
    </row>
    <row r="198" spans="1:7" x14ac:dyDescent="0.25">
      <c r="A198" s="23">
        <v>196</v>
      </c>
      <c r="B198" s="23" t="s">
        <v>290</v>
      </c>
      <c r="C198" s="23" t="s">
        <v>294</v>
      </c>
      <c r="D198" s="23" t="s">
        <v>841</v>
      </c>
      <c r="E198" s="26">
        <v>1450</v>
      </c>
      <c r="F198" s="26">
        <f>Tabla1[[#This Row],[COSTO]]*(1+45%)</f>
        <v>2102.5</v>
      </c>
      <c r="G198" s="23">
        <v>2</v>
      </c>
    </row>
    <row r="199" spans="1:7" x14ac:dyDescent="0.25">
      <c r="A199" s="23">
        <v>197</v>
      </c>
      <c r="B199" s="23" t="s">
        <v>290</v>
      </c>
      <c r="C199" s="23" t="s">
        <v>295</v>
      </c>
      <c r="D199" s="23" t="s">
        <v>841</v>
      </c>
      <c r="E199" s="26">
        <v>1450</v>
      </c>
      <c r="F199" s="26">
        <f>Tabla1[[#This Row],[COSTO]]*(1+45%)</f>
        <v>2102.5</v>
      </c>
      <c r="G199" s="23">
        <v>2</v>
      </c>
    </row>
    <row r="200" spans="1:7" x14ac:dyDescent="0.25">
      <c r="A200" s="23">
        <v>198</v>
      </c>
      <c r="B200" s="23" t="s">
        <v>290</v>
      </c>
      <c r="C200" s="23" t="s">
        <v>296</v>
      </c>
      <c r="D200" s="23" t="s">
        <v>841</v>
      </c>
      <c r="E200" s="26">
        <v>1450</v>
      </c>
      <c r="F200" s="26">
        <f>Tabla1[[#This Row],[COSTO]]*(1+45%)</f>
        <v>2102.5</v>
      </c>
      <c r="G200" s="23">
        <v>1</v>
      </c>
    </row>
    <row r="201" spans="1:7" x14ac:dyDescent="0.25">
      <c r="A201" s="23">
        <v>199</v>
      </c>
      <c r="B201" s="23" t="s">
        <v>298</v>
      </c>
      <c r="C201" s="23" t="s">
        <v>297</v>
      </c>
      <c r="D201" s="23" t="s">
        <v>841</v>
      </c>
      <c r="E201" s="26">
        <v>6250</v>
      </c>
      <c r="F201" s="26">
        <f>Tabla1[[#This Row],[COSTO]]*(1+45%)</f>
        <v>9062.5</v>
      </c>
      <c r="G201" s="23">
        <v>3</v>
      </c>
    </row>
    <row r="202" spans="1:7" x14ac:dyDescent="0.25">
      <c r="A202" s="23">
        <v>200</v>
      </c>
      <c r="B202" s="23" t="s">
        <v>298</v>
      </c>
      <c r="C202" s="23" t="s">
        <v>299</v>
      </c>
      <c r="D202" s="23" t="s">
        <v>841</v>
      </c>
      <c r="E202" s="26">
        <v>6250</v>
      </c>
      <c r="F202" s="26">
        <f>Tabla1[[#This Row],[COSTO]]*(1+45%)</f>
        <v>9062.5</v>
      </c>
      <c r="G202" s="23">
        <v>4</v>
      </c>
    </row>
    <row r="203" spans="1:7" x14ac:dyDescent="0.25">
      <c r="A203" s="23">
        <v>201</v>
      </c>
      <c r="B203" s="23" t="s">
        <v>298</v>
      </c>
      <c r="C203" s="23" t="s">
        <v>300</v>
      </c>
      <c r="D203" s="23" t="s">
        <v>841</v>
      </c>
      <c r="E203" s="26">
        <v>6250</v>
      </c>
      <c r="F203" s="26">
        <f>Tabla1[[#This Row],[COSTO]]*(1+45%)</f>
        <v>9062.5</v>
      </c>
      <c r="G203" s="23">
        <v>3</v>
      </c>
    </row>
    <row r="204" spans="1:7" x14ac:dyDescent="0.25">
      <c r="A204" s="23">
        <v>202</v>
      </c>
      <c r="B204" s="23" t="s">
        <v>298</v>
      </c>
      <c r="C204" s="23" t="s">
        <v>301</v>
      </c>
      <c r="D204" s="23" t="s">
        <v>841</v>
      </c>
      <c r="E204" s="26">
        <v>6250</v>
      </c>
      <c r="F204" s="26">
        <f>Tabla1[[#This Row],[COSTO]]*(1+45%)</f>
        <v>9062.5</v>
      </c>
      <c r="G204" s="23">
        <v>3</v>
      </c>
    </row>
    <row r="205" spans="1:7" x14ac:dyDescent="0.25">
      <c r="A205" s="23">
        <v>203</v>
      </c>
      <c r="B205" s="23" t="s">
        <v>298</v>
      </c>
      <c r="C205" s="23" t="s">
        <v>302</v>
      </c>
      <c r="D205" s="23" t="s">
        <v>841</v>
      </c>
      <c r="E205" s="26">
        <v>6250</v>
      </c>
      <c r="F205" s="26">
        <f>Tabla1[[#This Row],[COSTO]]*(1+45%)</f>
        <v>9062.5</v>
      </c>
      <c r="G205" s="23">
        <v>0</v>
      </c>
    </row>
    <row r="206" spans="1:7" x14ac:dyDescent="0.25">
      <c r="A206" s="23">
        <v>204</v>
      </c>
      <c r="B206" s="23" t="s">
        <v>304</v>
      </c>
      <c r="C206" s="23" t="s">
        <v>303</v>
      </c>
      <c r="D206" s="23" t="s">
        <v>841</v>
      </c>
      <c r="E206" s="26">
        <v>6550</v>
      </c>
      <c r="F206" s="26">
        <f>Tabla1[[#This Row],[COSTO]]*(1+45%)</f>
        <v>9497.5</v>
      </c>
      <c r="G206" s="23">
        <v>10</v>
      </c>
    </row>
    <row r="207" spans="1:7" x14ac:dyDescent="0.25">
      <c r="A207" s="23">
        <v>205</v>
      </c>
      <c r="B207" s="23" t="s">
        <v>306</v>
      </c>
      <c r="C207" s="23" t="s">
        <v>305</v>
      </c>
      <c r="D207" s="23" t="s">
        <v>842</v>
      </c>
      <c r="E207" s="26">
        <v>240</v>
      </c>
      <c r="F207" s="26">
        <f>Tabla1[[#This Row],[COSTO]]*(1+45%)</f>
        <v>348</v>
      </c>
      <c r="G207" s="23">
        <v>180</v>
      </c>
    </row>
    <row r="208" spans="1:7" x14ac:dyDescent="0.25">
      <c r="A208" s="23">
        <v>206</v>
      </c>
      <c r="B208" s="23" t="s">
        <v>308</v>
      </c>
      <c r="C208" s="23" t="s">
        <v>307</v>
      </c>
      <c r="D208" s="23" t="s">
        <v>843</v>
      </c>
      <c r="E208" s="26">
        <v>7290</v>
      </c>
      <c r="F208" s="26">
        <f>Tabla1[[#This Row],[COSTO]]*(1+45%)</f>
        <v>10570.5</v>
      </c>
      <c r="G208" s="23">
        <v>6</v>
      </c>
    </row>
    <row r="209" spans="1:7" x14ac:dyDescent="0.25">
      <c r="A209" s="23">
        <v>207</v>
      </c>
      <c r="B209" s="23" t="s">
        <v>310</v>
      </c>
      <c r="C209" s="23" t="s">
        <v>309</v>
      </c>
      <c r="D209" s="23" t="s">
        <v>843</v>
      </c>
      <c r="E209" s="26">
        <v>36900</v>
      </c>
      <c r="F209" s="26">
        <f>Tabla1[[#This Row],[COSTO]]*(1+45%)</f>
        <v>53505</v>
      </c>
      <c r="G209" s="23">
        <v>4</v>
      </c>
    </row>
    <row r="210" spans="1:7" x14ac:dyDescent="0.25">
      <c r="A210" s="23">
        <v>208</v>
      </c>
      <c r="B210" s="23" t="s">
        <v>312</v>
      </c>
      <c r="C210" s="23" t="s">
        <v>311</v>
      </c>
      <c r="D210" s="23" t="s">
        <v>844</v>
      </c>
      <c r="E210" s="26">
        <v>6550</v>
      </c>
      <c r="F210" s="26">
        <f>Tabla1[[#This Row],[COSTO]]*(1+45%)</f>
        <v>9497.5</v>
      </c>
      <c r="G210" s="23">
        <v>8</v>
      </c>
    </row>
    <row r="211" spans="1:7" x14ac:dyDescent="0.25">
      <c r="A211" s="23">
        <v>209</v>
      </c>
      <c r="B211" s="23" t="s">
        <v>314</v>
      </c>
      <c r="C211" s="23" t="s">
        <v>313</v>
      </c>
      <c r="D211" s="23" t="s">
        <v>844</v>
      </c>
      <c r="E211" s="26">
        <v>9450</v>
      </c>
      <c r="F211" s="26">
        <f>Tabla1[[#This Row],[COSTO]]*(1+45%)</f>
        <v>13702.5</v>
      </c>
      <c r="G211" s="23">
        <v>10</v>
      </c>
    </row>
    <row r="212" spans="1:7" x14ac:dyDescent="0.25">
      <c r="A212" s="23">
        <v>210</v>
      </c>
      <c r="B212" s="23" t="s">
        <v>314</v>
      </c>
      <c r="C212" s="23" t="s">
        <v>315</v>
      </c>
      <c r="D212" s="23" t="s">
        <v>844</v>
      </c>
      <c r="E212" s="26">
        <v>8150</v>
      </c>
      <c r="F212" s="26">
        <f>Tabla1[[#This Row],[COSTO]]*(1+45%)</f>
        <v>11817.5</v>
      </c>
      <c r="G212" s="23">
        <v>8</v>
      </c>
    </row>
    <row r="213" spans="1:7" x14ac:dyDescent="0.25">
      <c r="A213" s="23">
        <v>211</v>
      </c>
      <c r="B213" s="23" t="s">
        <v>317</v>
      </c>
      <c r="C213" s="23" t="s">
        <v>316</v>
      </c>
      <c r="D213" s="23" t="s">
        <v>844</v>
      </c>
      <c r="E213" s="26">
        <v>26500</v>
      </c>
      <c r="F213" s="26">
        <f>Tabla1[[#This Row],[COSTO]]*(1+45%)</f>
        <v>38425</v>
      </c>
      <c r="G213" s="23">
        <v>2</v>
      </c>
    </row>
    <row r="214" spans="1:7" x14ac:dyDescent="0.25">
      <c r="A214" s="23">
        <v>212</v>
      </c>
      <c r="B214" s="23" t="s">
        <v>319</v>
      </c>
      <c r="C214" s="23" t="s">
        <v>318</v>
      </c>
      <c r="D214" s="23" t="s">
        <v>844</v>
      </c>
      <c r="E214" s="26">
        <v>23900</v>
      </c>
      <c r="F214" s="26">
        <f>Tabla1[[#This Row],[COSTO]]*(1+45%)</f>
        <v>34655</v>
      </c>
      <c r="G214" s="23">
        <v>1</v>
      </c>
    </row>
    <row r="215" spans="1:7" x14ac:dyDescent="0.25">
      <c r="A215" s="23">
        <v>213</v>
      </c>
      <c r="B215" s="23" t="s">
        <v>321</v>
      </c>
      <c r="C215" s="23" t="s">
        <v>320</v>
      </c>
      <c r="D215" s="23" t="s">
        <v>844</v>
      </c>
      <c r="E215" s="26">
        <v>21000</v>
      </c>
      <c r="F215" s="26">
        <f>Tabla1[[#This Row],[COSTO]]*(1+45%)</f>
        <v>30450</v>
      </c>
      <c r="G215" s="23">
        <v>1</v>
      </c>
    </row>
    <row r="216" spans="1:7" x14ac:dyDescent="0.25">
      <c r="A216" s="23">
        <v>214</v>
      </c>
      <c r="B216" s="23" t="s">
        <v>323</v>
      </c>
      <c r="C216" s="23" t="s">
        <v>322</v>
      </c>
      <c r="D216" s="23" t="s">
        <v>844</v>
      </c>
      <c r="E216" s="26">
        <v>11200</v>
      </c>
      <c r="F216" s="26">
        <f>Tabla1[[#This Row],[COSTO]]*(1+45%)</f>
        <v>16240</v>
      </c>
      <c r="G216" s="23">
        <v>6</v>
      </c>
    </row>
    <row r="217" spans="1:7" x14ac:dyDescent="0.25">
      <c r="A217" s="23">
        <v>215</v>
      </c>
      <c r="B217" s="23" t="s">
        <v>325</v>
      </c>
      <c r="C217" s="23" t="s">
        <v>324</v>
      </c>
      <c r="D217" s="23" t="s">
        <v>844</v>
      </c>
      <c r="E217" s="26">
        <v>33500</v>
      </c>
      <c r="F217" s="26">
        <f>Tabla1[[#This Row],[COSTO]]*(1+45%)</f>
        <v>48575</v>
      </c>
      <c r="G217" s="23">
        <v>0</v>
      </c>
    </row>
    <row r="218" spans="1:7" x14ac:dyDescent="0.25">
      <c r="A218" s="23">
        <v>216</v>
      </c>
      <c r="B218" s="23" t="s">
        <v>327</v>
      </c>
      <c r="C218" s="23" t="s">
        <v>326</v>
      </c>
      <c r="D218" s="23" t="s">
        <v>845</v>
      </c>
      <c r="E218" s="26">
        <v>36500</v>
      </c>
      <c r="F218" s="26">
        <f>Tabla1[[#This Row],[COSTO]]*(1+45%)</f>
        <v>52925</v>
      </c>
      <c r="G218" s="23">
        <v>3</v>
      </c>
    </row>
    <row r="219" spans="1:7" x14ac:dyDescent="0.25">
      <c r="A219" s="23">
        <v>217</v>
      </c>
      <c r="B219" s="23" t="s">
        <v>329</v>
      </c>
      <c r="C219" s="23" t="s">
        <v>328</v>
      </c>
      <c r="D219" s="23" t="s">
        <v>846</v>
      </c>
      <c r="E219" s="26">
        <v>1390</v>
      </c>
      <c r="F219" s="26">
        <f>Tabla1[[#This Row],[COSTO]]*(1+45%)</f>
        <v>2015.5</v>
      </c>
      <c r="G219" s="23">
        <v>40</v>
      </c>
    </row>
    <row r="220" spans="1:7" x14ac:dyDescent="0.25">
      <c r="A220" s="23">
        <v>218</v>
      </c>
      <c r="B220" s="23" t="s">
        <v>331</v>
      </c>
      <c r="C220" s="23" t="s">
        <v>330</v>
      </c>
      <c r="D220" s="23" t="s">
        <v>846</v>
      </c>
      <c r="E220" s="26">
        <v>3790</v>
      </c>
      <c r="F220" s="26">
        <f>Tabla1[[#This Row],[COSTO]]*(1+45%)</f>
        <v>5495.5</v>
      </c>
      <c r="G220" s="23">
        <v>15</v>
      </c>
    </row>
    <row r="221" spans="1:7" x14ac:dyDescent="0.25">
      <c r="A221" s="23">
        <v>219</v>
      </c>
      <c r="B221" s="23" t="s">
        <v>333</v>
      </c>
      <c r="C221" s="23" t="s">
        <v>332</v>
      </c>
      <c r="D221" s="23" t="s">
        <v>846</v>
      </c>
      <c r="E221" s="26">
        <v>8450</v>
      </c>
      <c r="F221" s="26">
        <f>Tabla1[[#This Row],[COSTO]]*(1+45%)</f>
        <v>12252.5</v>
      </c>
      <c r="G221" s="23">
        <v>14</v>
      </c>
    </row>
    <row r="222" spans="1:7" x14ac:dyDescent="0.25">
      <c r="A222" s="23">
        <v>220</v>
      </c>
      <c r="B222" s="23" t="s">
        <v>335</v>
      </c>
      <c r="C222" s="23" t="s">
        <v>334</v>
      </c>
      <c r="D222" s="23" t="s">
        <v>846</v>
      </c>
      <c r="E222" s="26">
        <v>6050</v>
      </c>
      <c r="F222" s="26">
        <f>Tabla1[[#This Row],[COSTO]]*(1+45%)</f>
        <v>8772.5</v>
      </c>
      <c r="G222" s="23">
        <v>8</v>
      </c>
    </row>
    <row r="223" spans="1:7" x14ac:dyDescent="0.25">
      <c r="A223" s="23">
        <v>221</v>
      </c>
      <c r="B223" s="23" t="s">
        <v>337</v>
      </c>
      <c r="C223" s="23" t="s">
        <v>336</v>
      </c>
      <c r="D223" s="23" t="s">
        <v>846</v>
      </c>
      <c r="E223" s="26">
        <v>5490</v>
      </c>
      <c r="F223" s="26">
        <f>Tabla1[[#This Row],[COSTO]]*(1+45%)</f>
        <v>7960.5</v>
      </c>
      <c r="G223" s="23">
        <v>19</v>
      </c>
    </row>
    <row r="224" spans="1:7" x14ac:dyDescent="0.25">
      <c r="A224" s="23">
        <v>222</v>
      </c>
      <c r="B224" s="23" t="s">
        <v>339</v>
      </c>
      <c r="C224" s="23" t="s">
        <v>338</v>
      </c>
      <c r="D224" s="23" t="s">
        <v>831</v>
      </c>
      <c r="E224" s="26">
        <v>20900</v>
      </c>
      <c r="F224" s="26">
        <f>Tabla1[[#This Row],[COSTO]]*(1+45%)</f>
        <v>30305</v>
      </c>
      <c r="G224" s="23">
        <v>0</v>
      </c>
    </row>
    <row r="225" spans="1:7" x14ac:dyDescent="0.25">
      <c r="A225" s="23">
        <v>223</v>
      </c>
      <c r="B225" s="23" t="s">
        <v>341</v>
      </c>
      <c r="C225" s="23" t="s">
        <v>340</v>
      </c>
      <c r="D225" s="23" t="s">
        <v>831</v>
      </c>
      <c r="E225" s="26">
        <v>21900</v>
      </c>
      <c r="F225" s="26">
        <f>Tabla1[[#This Row],[COSTO]]*(1+45%)</f>
        <v>31755</v>
      </c>
      <c r="G225" s="23">
        <v>1</v>
      </c>
    </row>
    <row r="226" spans="1:7" ht="12.75" customHeight="1" x14ac:dyDescent="0.25">
      <c r="A226" s="23">
        <v>224</v>
      </c>
      <c r="B226" s="23" t="s">
        <v>343</v>
      </c>
      <c r="C226" s="23" t="s">
        <v>342</v>
      </c>
      <c r="D226" s="23" t="s">
        <v>831</v>
      </c>
      <c r="E226" s="26">
        <v>20900</v>
      </c>
      <c r="F226" s="26">
        <f>Tabla1[[#This Row],[COSTO]]*(1+45%)</f>
        <v>30305</v>
      </c>
      <c r="G226" s="23">
        <v>1</v>
      </c>
    </row>
    <row r="227" spans="1:7" ht="12.75" customHeight="1" x14ac:dyDescent="0.25">
      <c r="A227" s="23">
        <v>225</v>
      </c>
      <c r="B227" s="23" t="s">
        <v>345</v>
      </c>
      <c r="C227" s="23" t="s">
        <v>344</v>
      </c>
      <c r="D227" s="23" t="s">
        <v>847</v>
      </c>
      <c r="E227" s="26">
        <v>61500</v>
      </c>
      <c r="F227" s="26">
        <f>Tabla1[[#This Row],[COSTO]]*(1+45%)</f>
        <v>89175</v>
      </c>
      <c r="G227" s="23">
        <v>2</v>
      </c>
    </row>
    <row r="228" spans="1:7" x14ac:dyDescent="0.25">
      <c r="A228" s="23">
        <v>226</v>
      </c>
      <c r="B228" s="23" t="s">
        <v>347</v>
      </c>
      <c r="C228" s="23" t="s">
        <v>346</v>
      </c>
      <c r="D228" s="23" t="s">
        <v>848</v>
      </c>
      <c r="E228" s="26">
        <v>12600</v>
      </c>
      <c r="F228" s="26">
        <f>Tabla1[[#This Row],[COSTO]]*(1+45%)</f>
        <v>18270</v>
      </c>
      <c r="G228" s="23">
        <v>5</v>
      </c>
    </row>
    <row r="229" spans="1:7" x14ac:dyDescent="0.25">
      <c r="A229" s="23">
        <v>227</v>
      </c>
      <c r="B229" s="23" t="s">
        <v>349</v>
      </c>
      <c r="C229" s="23" t="s">
        <v>348</v>
      </c>
      <c r="D229" s="23" t="s">
        <v>848</v>
      </c>
      <c r="E229" s="26">
        <v>1750</v>
      </c>
      <c r="F229" s="26">
        <f>Tabla1[[#This Row],[COSTO]]*(1+45%)</f>
        <v>2537.5</v>
      </c>
      <c r="G229" s="23">
        <v>50</v>
      </c>
    </row>
    <row r="230" spans="1:7" x14ac:dyDescent="0.25">
      <c r="A230" s="23">
        <v>228</v>
      </c>
      <c r="B230" s="23" t="s">
        <v>351</v>
      </c>
      <c r="C230" s="23" t="s">
        <v>350</v>
      </c>
      <c r="D230" s="23" t="s">
        <v>848</v>
      </c>
      <c r="E230" s="26">
        <v>3290</v>
      </c>
      <c r="F230" s="26">
        <f>Tabla1[[#This Row],[COSTO]]*(1+45%)</f>
        <v>4770.5</v>
      </c>
      <c r="G230" s="23">
        <v>16</v>
      </c>
    </row>
    <row r="231" spans="1:7" x14ac:dyDescent="0.25">
      <c r="A231" s="23">
        <v>229</v>
      </c>
      <c r="B231" s="23" t="s">
        <v>353</v>
      </c>
      <c r="C231" s="23" t="s">
        <v>352</v>
      </c>
      <c r="D231" s="23" t="s">
        <v>848</v>
      </c>
      <c r="E231" s="26">
        <v>51500</v>
      </c>
      <c r="F231" s="26">
        <f>Tabla1[[#This Row],[COSTO]]*(1+45%)</f>
        <v>74675</v>
      </c>
      <c r="G231" s="23">
        <v>1</v>
      </c>
    </row>
    <row r="232" spans="1:7" x14ac:dyDescent="0.25">
      <c r="A232" s="23">
        <v>230</v>
      </c>
      <c r="B232" s="23" t="s">
        <v>355</v>
      </c>
      <c r="C232" s="23" t="s">
        <v>354</v>
      </c>
      <c r="D232" s="23" t="s">
        <v>848</v>
      </c>
      <c r="E232" s="26">
        <v>3390</v>
      </c>
      <c r="F232" s="26">
        <f>Tabla1[[#This Row],[COSTO]]*(1+45%)</f>
        <v>4915.5</v>
      </c>
      <c r="G232" s="23">
        <v>20</v>
      </c>
    </row>
    <row r="233" spans="1:7" x14ac:dyDescent="0.25">
      <c r="A233" s="23">
        <v>231</v>
      </c>
      <c r="B233" s="23" t="s">
        <v>357</v>
      </c>
      <c r="C233" s="23" t="s">
        <v>356</v>
      </c>
      <c r="D233" s="23" t="s">
        <v>849</v>
      </c>
      <c r="E233" s="26">
        <v>54500</v>
      </c>
      <c r="F233" s="26">
        <f>Tabla1[[#This Row],[COSTO]]*(1+45%)</f>
        <v>79025</v>
      </c>
      <c r="G233" s="23">
        <v>5</v>
      </c>
    </row>
    <row r="234" spans="1:7" x14ac:dyDescent="0.25">
      <c r="A234" s="23">
        <v>232</v>
      </c>
      <c r="B234" s="23" t="s">
        <v>359</v>
      </c>
      <c r="C234" s="23" t="s">
        <v>358</v>
      </c>
      <c r="D234" s="23" t="s">
        <v>849</v>
      </c>
      <c r="E234" s="26">
        <v>115500</v>
      </c>
      <c r="F234" s="26">
        <f>Tabla1[[#This Row],[COSTO]]*(1+45%)</f>
        <v>167475</v>
      </c>
      <c r="G234" s="23">
        <v>1</v>
      </c>
    </row>
    <row r="235" spans="1:7" s="4" customFormat="1" x14ac:dyDescent="0.25">
      <c r="A235" s="23">
        <v>233</v>
      </c>
      <c r="B235" s="23" t="s">
        <v>361</v>
      </c>
      <c r="C235" s="23" t="s">
        <v>360</v>
      </c>
      <c r="D235" s="23" t="s">
        <v>849</v>
      </c>
      <c r="E235" s="26">
        <v>17900</v>
      </c>
      <c r="F235" s="26">
        <f>Tabla1[[#This Row],[COSTO]]*(1+45%)</f>
        <v>25955</v>
      </c>
      <c r="G235" s="23">
        <v>7</v>
      </c>
    </row>
    <row r="236" spans="1:7" x14ac:dyDescent="0.25">
      <c r="A236" s="23">
        <v>234</v>
      </c>
      <c r="B236" s="23" t="s">
        <v>361</v>
      </c>
      <c r="C236" s="23" t="s">
        <v>362</v>
      </c>
      <c r="D236" s="23" t="s">
        <v>849</v>
      </c>
      <c r="E236" s="26">
        <v>18900</v>
      </c>
      <c r="F236" s="26">
        <f>Tabla1[[#This Row],[COSTO]]*(1+45%)</f>
        <v>27405</v>
      </c>
      <c r="G236" s="23">
        <v>3</v>
      </c>
    </row>
    <row r="237" spans="1:7" x14ac:dyDescent="0.25">
      <c r="A237" s="23">
        <v>235</v>
      </c>
      <c r="B237" s="23" t="s">
        <v>364</v>
      </c>
      <c r="C237" s="23" t="s">
        <v>363</v>
      </c>
      <c r="D237" s="23" t="s">
        <v>849</v>
      </c>
      <c r="E237" s="26">
        <v>9100</v>
      </c>
      <c r="F237" s="26">
        <f>Tabla1[[#This Row],[COSTO]]*(1+45%)</f>
        <v>13195</v>
      </c>
      <c r="G237" s="23">
        <v>8</v>
      </c>
    </row>
    <row r="238" spans="1:7" x14ac:dyDescent="0.25">
      <c r="A238" s="23">
        <v>236</v>
      </c>
      <c r="B238" s="23" t="s">
        <v>366</v>
      </c>
      <c r="C238" s="23" t="s">
        <v>365</v>
      </c>
      <c r="D238" s="23" t="s">
        <v>849</v>
      </c>
      <c r="E238" s="26">
        <v>17500</v>
      </c>
      <c r="F238" s="26">
        <f>Tabla1[[#This Row],[COSTO]]*(1+45%)</f>
        <v>25375</v>
      </c>
      <c r="G238" s="23">
        <v>6</v>
      </c>
    </row>
    <row r="239" spans="1:7" x14ac:dyDescent="0.25">
      <c r="A239" s="23">
        <v>237</v>
      </c>
      <c r="B239" s="23" t="s">
        <v>368</v>
      </c>
      <c r="C239" s="23" t="s">
        <v>367</v>
      </c>
      <c r="D239" s="23" t="s">
        <v>850</v>
      </c>
      <c r="E239" s="26">
        <v>8550</v>
      </c>
      <c r="F239" s="26">
        <f>Tabla1[[#This Row],[COSTO]]*(1+45%)</f>
        <v>12397.5</v>
      </c>
      <c r="G239" s="23">
        <v>1</v>
      </c>
    </row>
    <row r="240" spans="1:7" x14ac:dyDescent="0.25">
      <c r="A240" s="23">
        <v>238</v>
      </c>
      <c r="B240" s="23" t="s">
        <v>370</v>
      </c>
      <c r="C240" s="23" t="s">
        <v>369</v>
      </c>
      <c r="D240" s="23" t="s">
        <v>851</v>
      </c>
      <c r="E240" s="26">
        <v>820</v>
      </c>
      <c r="F240" s="26">
        <f>Tabla1[[#This Row],[COSTO]]*(1+45%)</f>
        <v>1189</v>
      </c>
      <c r="G240" s="23">
        <v>0</v>
      </c>
    </row>
    <row r="241" spans="1:7" x14ac:dyDescent="0.25">
      <c r="A241" s="23">
        <v>239</v>
      </c>
      <c r="B241" s="23" t="s">
        <v>372</v>
      </c>
      <c r="C241" s="23" t="s">
        <v>371</v>
      </c>
      <c r="D241" s="23" t="s">
        <v>843</v>
      </c>
      <c r="E241" s="26">
        <v>10500</v>
      </c>
      <c r="F241" s="26">
        <f>Tabla1[[#This Row],[COSTO]]*(1+45%)</f>
        <v>15225</v>
      </c>
      <c r="G241" s="23">
        <v>8</v>
      </c>
    </row>
    <row r="242" spans="1:7" x14ac:dyDescent="0.25">
      <c r="A242" s="23">
        <v>240</v>
      </c>
      <c r="B242" s="23" t="s">
        <v>374</v>
      </c>
      <c r="C242" s="23" t="s">
        <v>373</v>
      </c>
      <c r="D242" s="23" t="s">
        <v>856</v>
      </c>
      <c r="E242" s="26">
        <v>12600</v>
      </c>
      <c r="F242" s="26">
        <f>Tabla1[[#This Row],[COSTO]]*(1+45%)</f>
        <v>18270</v>
      </c>
      <c r="G242" s="23">
        <v>6</v>
      </c>
    </row>
    <row r="243" spans="1:7" x14ac:dyDescent="0.25">
      <c r="A243" s="23">
        <v>241</v>
      </c>
      <c r="B243" s="23" t="s">
        <v>376</v>
      </c>
      <c r="C243" s="23" t="s">
        <v>375</v>
      </c>
      <c r="D243" s="23" t="s">
        <v>857</v>
      </c>
      <c r="E243" s="26">
        <v>88900</v>
      </c>
      <c r="F243" s="26">
        <f>Tabla1[[#This Row],[COSTO]]*(1+45%)</f>
        <v>128905</v>
      </c>
      <c r="G243" s="23">
        <v>2</v>
      </c>
    </row>
    <row r="244" spans="1:7" x14ac:dyDescent="0.25">
      <c r="A244" s="23">
        <v>242</v>
      </c>
      <c r="B244" s="23" t="s">
        <v>378</v>
      </c>
      <c r="C244" s="23" t="s">
        <v>377</v>
      </c>
      <c r="D244" s="23" t="s">
        <v>858</v>
      </c>
      <c r="E244" s="26">
        <v>16500</v>
      </c>
      <c r="F244" s="26">
        <f>Tabla1[[#This Row],[COSTO]]*(1+45%)</f>
        <v>23925</v>
      </c>
      <c r="G244" s="23">
        <v>5</v>
      </c>
    </row>
    <row r="245" spans="1:7" x14ac:dyDescent="0.25">
      <c r="A245" s="23">
        <v>243</v>
      </c>
      <c r="B245" s="23" t="s">
        <v>380</v>
      </c>
      <c r="C245" s="23" t="s">
        <v>379</v>
      </c>
      <c r="D245" s="23" t="s">
        <v>859</v>
      </c>
      <c r="E245" s="26">
        <v>18500</v>
      </c>
      <c r="F245" s="26">
        <f>Tabla1[[#This Row],[COSTO]]*(1+45%)</f>
        <v>26825</v>
      </c>
      <c r="G245" s="23">
        <v>4</v>
      </c>
    </row>
    <row r="246" spans="1:7" x14ac:dyDescent="0.25">
      <c r="A246" s="23">
        <v>244</v>
      </c>
      <c r="B246" s="23" t="s">
        <v>382</v>
      </c>
      <c r="C246" s="23" t="s">
        <v>381</v>
      </c>
      <c r="D246" s="23" t="s">
        <v>860</v>
      </c>
      <c r="E246" s="26">
        <v>6990</v>
      </c>
      <c r="F246" s="26">
        <f>Tabla1[[#This Row],[COSTO]]*(1+45%)</f>
        <v>10135.5</v>
      </c>
      <c r="G246" s="23">
        <v>10</v>
      </c>
    </row>
    <row r="247" spans="1:7" x14ac:dyDescent="0.25">
      <c r="A247" s="23">
        <v>245</v>
      </c>
      <c r="B247" s="23" t="s">
        <v>384</v>
      </c>
      <c r="C247" s="23" t="s">
        <v>383</v>
      </c>
      <c r="D247" s="23" t="s">
        <v>866</v>
      </c>
      <c r="E247" s="26">
        <v>4850</v>
      </c>
      <c r="F247" s="26">
        <f>Tabla1[[#This Row],[COSTO]]*(1+45%)</f>
        <v>7032.5</v>
      </c>
      <c r="G247" s="23">
        <v>8</v>
      </c>
    </row>
    <row r="248" spans="1:7" x14ac:dyDescent="0.25">
      <c r="A248" s="23">
        <v>246</v>
      </c>
      <c r="B248" s="23" t="s">
        <v>386</v>
      </c>
      <c r="C248" s="23" t="s">
        <v>385</v>
      </c>
      <c r="D248" s="23" t="s">
        <v>861</v>
      </c>
      <c r="E248" s="26">
        <v>11900</v>
      </c>
      <c r="F248" s="26">
        <f>Tabla1[[#This Row],[COSTO]]*(1+45%)</f>
        <v>17255</v>
      </c>
      <c r="G248" s="23">
        <v>4</v>
      </c>
    </row>
    <row r="249" spans="1:7" x14ac:dyDescent="0.25">
      <c r="A249" s="23">
        <v>247</v>
      </c>
      <c r="B249" s="23" t="s">
        <v>386</v>
      </c>
      <c r="C249" s="23" t="s">
        <v>387</v>
      </c>
      <c r="D249" s="23" t="s">
        <v>861</v>
      </c>
      <c r="E249" s="26">
        <v>11900</v>
      </c>
      <c r="F249" s="26">
        <f>Tabla1[[#This Row],[COSTO]]*(1+45%)</f>
        <v>17255</v>
      </c>
      <c r="G249" s="23">
        <v>4</v>
      </c>
    </row>
    <row r="250" spans="1:7" x14ac:dyDescent="0.25">
      <c r="A250" s="23">
        <v>248</v>
      </c>
      <c r="B250" s="23" t="s">
        <v>389</v>
      </c>
      <c r="C250" s="23" t="s">
        <v>388</v>
      </c>
      <c r="D250" s="23" t="s">
        <v>862</v>
      </c>
      <c r="E250" s="26">
        <v>5950</v>
      </c>
      <c r="F250" s="26">
        <f>Tabla1[[#This Row],[COSTO]]*(1+45%)</f>
        <v>8627.5</v>
      </c>
      <c r="G250" s="23">
        <v>7</v>
      </c>
    </row>
    <row r="251" spans="1:7" x14ac:dyDescent="0.25">
      <c r="A251" s="23">
        <v>249</v>
      </c>
      <c r="B251" s="23" t="s">
        <v>391</v>
      </c>
      <c r="C251" s="23" t="s">
        <v>390</v>
      </c>
      <c r="D251" s="23" t="s">
        <v>863</v>
      </c>
      <c r="E251" s="26">
        <v>9650</v>
      </c>
      <c r="F251" s="26">
        <f>Tabla1[[#This Row],[COSTO]]*(1+45%)</f>
        <v>13992.5</v>
      </c>
      <c r="G251" s="23">
        <v>6</v>
      </c>
    </row>
    <row r="252" spans="1:7" x14ac:dyDescent="0.25">
      <c r="A252" s="23">
        <v>250</v>
      </c>
      <c r="B252" s="23" t="s">
        <v>393</v>
      </c>
      <c r="C252" s="23" t="s">
        <v>392</v>
      </c>
      <c r="D252" s="23" t="s">
        <v>864</v>
      </c>
      <c r="E252" s="26">
        <v>8750</v>
      </c>
      <c r="F252" s="26">
        <f>Tabla1[[#This Row],[COSTO]]*(1+45%)</f>
        <v>12687.5</v>
      </c>
      <c r="G252" s="23">
        <v>5</v>
      </c>
    </row>
    <row r="253" spans="1:7" x14ac:dyDescent="0.25">
      <c r="A253" s="23">
        <v>251</v>
      </c>
      <c r="B253" s="23" t="s">
        <v>395</v>
      </c>
      <c r="C253" s="23" t="s">
        <v>394</v>
      </c>
      <c r="D253" s="23" t="s">
        <v>865</v>
      </c>
      <c r="E253" s="26">
        <v>11900</v>
      </c>
      <c r="F253" s="26">
        <f>Tabla1[[#This Row],[COSTO]]*(1+45%)</f>
        <v>17255</v>
      </c>
      <c r="G253" s="23">
        <v>2</v>
      </c>
    </row>
    <row r="254" spans="1:7" x14ac:dyDescent="0.25">
      <c r="A254" s="23">
        <v>252</v>
      </c>
      <c r="B254" s="23" t="s">
        <v>397</v>
      </c>
      <c r="C254" s="23" t="s">
        <v>396</v>
      </c>
      <c r="D254" s="23" t="s">
        <v>866</v>
      </c>
      <c r="E254" s="26">
        <v>8990</v>
      </c>
      <c r="F254" s="26">
        <f>Tabla1[[#This Row],[COSTO]]*(1+45%)</f>
        <v>13035.5</v>
      </c>
      <c r="G254" s="23">
        <v>2</v>
      </c>
    </row>
    <row r="255" spans="1:7" x14ac:dyDescent="0.25">
      <c r="A255" s="23">
        <v>253</v>
      </c>
      <c r="B255" s="23" t="s">
        <v>399</v>
      </c>
      <c r="C255" s="23" t="s">
        <v>398</v>
      </c>
      <c r="D255" s="23" t="s">
        <v>866</v>
      </c>
      <c r="E255" s="26">
        <v>12600</v>
      </c>
      <c r="F255" s="26">
        <f>Tabla1[[#This Row],[COSTO]]*(1+45%)</f>
        <v>18270</v>
      </c>
      <c r="G255" s="23">
        <v>6</v>
      </c>
    </row>
    <row r="256" spans="1:7" x14ac:dyDescent="0.25">
      <c r="A256" s="23">
        <v>254</v>
      </c>
      <c r="B256" s="23" t="s">
        <v>401</v>
      </c>
      <c r="C256" s="23" t="s">
        <v>400</v>
      </c>
      <c r="D256" s="23" t="s">
        <v>866</v>
      </c>
      <c r="E256" s="26">
        <v>17300</v>
      </c>
      <c r="F256" s="26">
        <f>Tabla1[[#This Row],[COSTO]]*(1+45%)</f>
        <v>25085</v>
      </c>
      <c r="G256" s="23">
        <v>0</v>
      </c>
    </row>
    <row r="257" spans="1:7" x14ac:dyDescent="0.25">
      <c r="A257" s="23">
        <v>255</v>
      </c>
      <c r="B257" s="23" t="s">
        <v>403</v>
      </c>
      <c r="C257" s="23" t="s">
        <v>402</v>
      </c>
      <c r="D257" s="23" t="s">
        <v>867</v>
      </c>
      <c r="E257" s="26">
        <v>16900</v>
      </c>
      <c r="F257" s="26">
        <f>Tabla1[[#This Row],[COSTO]]*(1+45%)</f>
        <v>24505</v>
      </c>
      <c r="G257" s="23">
        <v>3</v>
      </c>
    </row>
    <row r="258" spans="1:7" x14ac:dyDescent="0.25">
      <c r="A258" s="23">
        <v>256</v>
      </c>
      <c r="B258" s="23" t="s">
        <v>405</v>
      </c>
      <c r="C258" s="23" t="s">
        <v>404</v>
      </c>
      <c r="D258" s="23" t="s">
        <v>868</v>
      </c>
      <c r="E258" s="26">
        <v>26200</v>
      </c>
      <c r="F258" s="26">
        <f>Tabla1[[#This Row],[COSTO]]*(1+45%)</f>
        <v>37990</v>
      </c>
      <c r="G258" s="23">
        <v>6</v>
      </c>
    </row>
    <row r="259" spans="1:7" x14ac:dyDescent="0.25">
      <c r="A259" s="23">
        <v>257</v>
      </c>
      <c r="B259" s="23" t="s">
        <v>407</v>
      </c>
      <c r="C259" s="23" t="s">
        <v>406</v>
      </c>
      <c r="D259" s="23" t="s">
        <v>854</v>
      </c>
      <c r="E259" s="26">
        <v>25200</v>
      </c>
      <c r="F259" s="26">
        <f>Tabla1[[#This Row],[COSTO]]*(1+45%)</f>
        <v>36540</v>
      </c>
      <c r="G259" s="23">
        <v>1</v>
      </c>
    </row>
    <row r="260" spans="1:7" x14ac:dyDescent="0.25">
      <c r="A260" s="23">
        <v>258</v>
      </c>
      <c r="B260" s="23" t="s">
        <v>409</v>
      </c>
      <c r="C260" s="23" t="s">
        <v>408</v>
      </c>
      <c r="D260" s="23" t="s">
        <v>866</v>
      </c>
      <c r="E260" s="26">
        <v>14500</v>
      </c>
      <c r="F260" s="26">
        <f>Tabla1[[#This Row],[COSTO]]*(1+45%)</f>
        <v>21025</v>
      </c>
      <c r="G260" s="23">
        <v>4</v>
      </c>
    </row>
    <row r="261" spans="1:7" x14ac:dyDescent="0.25">
      <c r="A261" s="23">
        <v>259</v>
      </c>
      <c r="B261" s="23" t="s">
        <v>411</v>
      </c>
      <c r="C261" s="23" t="s">
        <v>410</v>
      </c>
      <c r="D261" s="23" t="s">
        <v>866</v>
      </c>
      <c r="E261" s="26">
        <v>14600</v>
      </c>
      <c r="F261" s="26">
        <f>Tabla1[[#This Row],[COSTO]]*(1+45%)</f>
        <v>21170</v>
      </c>
      <c r="G261" s="23">
        <v>5</v>
      </c>
    </row>
    <row r="262" spans="1:7" x14ac:dyDescent="0.25">
      <c r="A262" s="23">
        <v>260</v>
      </c>
      <c r="B262" s="23" t="s">
        <v>413</v>
      </c>
      <c r="C262" s="23" t="s">
        <v>412</v>
      </c>
      <c r="D262" s="23" t="s">
        <v>866</v>
      </c>
      <c r="E262" s="26">
        <v>15400</v>
      </c>
      <c r="F262" s="26">
        <f>Tabla1[[#This Row],[COSTO]]*(1+45%)</f>
        <v>22330</v>
      </c>
      <c r="G262" s="23">
        <v>5</v>
      </c>
    </row>
    <row r="263" spans="1:7" x14ac:dyDescent="0.25">
      <c r="A263" s="23">
        <v>261</v>
      </c>
      <c r="B263" s="23" t="s">
        <v>796</v>
      </c>
      <c r="C263" s="23" t="s">
        <v>775</v>
      </c>
      <c r="D263" s="23" t="s">
        <v>855</v>
      </c>
      <c r="E263" s="26">
        <v>13200</v>
      </c>
      <c r="F263" s="26">
        <f>Tabla1[[#This Row],[COSTO]]*(1+45%)</f>
        <v>19140</v>
      </c>
      <c r="G263" s="23">
        <v>2</v>
      </c>
    </row>
    <row r="264" spans="1:7" x14ac:dyDescent="0.25">
      <c r="A264" s="23">
        <v>262</v>
      </c>
      <c r="B264" s="23" t="s">
        <v>794</v>
      </c>
      <c r="C264" s="23" t="s">
        <v>761</v>
      </c>
      <c r="D264" s="23" t="s">
        <v>886</v>
      </c>
      <c r="E264" s="26">
        <v>11600</v>
      </c>
      <c r="F264" s="26">
        <f>Tabla1[[#This Row],[COSTO]]*(1+45%)</f>
        <v>16820</v>
      </c>
      <c r="G264" s="23">
        <v>2</v>
      </c>
    </row>
    <row r="265" spans="1:7" x14ac:dyDescent="0.25">
      <c r="A265" s="23">
        <v>263</v>
      </c>
      <c r="B265" s="23" t="s">
        <v>415</v>
      </c>
      <c r="C265" s="23" t="s">
        <v>414</v>
      </c>
      <c r="D265" s="23" t="s">
        <v>886</v>
      </c>
      <c r="E265" s="26">
        <v>31500</v>
      </c>
      <c r="F265" s="26">
        <f>Tabla1[[#This Row],[COSTO]]*(1+45%)</f>
        <v>45675</v>
      </c>
      <c r="G265" s="23">
        <v>1</v>
      </c>
    </row>
    <row r="266" spans="1:7" x14ac:dyDescent="0.25">
      <c r="A266" s="23">
        <v>264</v>
      </c>
      <c r="B266" s="23" t="s">
        <v>417</v>
      </c>
      <c r="C266" s="23" t="s">
        <v>416</v>
      </c>
      <c r="D266" s="23" t="s">
        <v>886</v>
      </c>
      <c r="E266" s="26">
        <v>26500</v>
      </c>
      <c r="F266" s="26">
        <f>Tabla1[[#This Row],[COSTO]]*(1+45%)</f>
        <v>38425</v>
      </c>
      <c r="G266" s="23">
        <v>0</v>
      </c>
    </row>
    <row r="267" spans="1:7" x14ac:dyDescent="0.25">
      <c r="A267" s="23">
        <v>265</v>
      </c>
      <c r="B267" s="23" t="s">
        <v>419</v>
      </c>
      <c r="C267" s="23" t="s">
        <v>418</v>
      </c>
      <c r="D267" s="23" t="s">
        <v>886</v>
      </c>
      <c r="E267" s="26">
        <v>17500</v>
      </c>
      <c r="F267" s="26">
        <f>Tabla1[[#This Row],[COSTO]]*(1+45%)</f>
        <v>25375</v>
      </c>
      <c r="G267" s="23">
        <v>2</v>
      </c>
    </row>
    <row r="268" spans="1:7" x14ac:dyDescent="0.25">
      <c r="A268" s="23">
        <v>266</v>
      </c>
      <c r="B268" s="23" t="s">
        <v>801</v>
      </c>
      <c r="C268" s="23" t="s">
        <v>420</v>
      </c>
      <c r="D268" s="23" t="s">
        <v>886</v>
      </c>
      <c r="E268" s="26">
        <v>12100</v>
      </c>
      <c r="F268" s="26">
        <f>Tabla1[[#This Row],[COSTO]]*(1+45%)</f>
        <v>17545</v>
      </c>
      <c r="G268" s="23">
        <v>0</v>
      </c>
    </row>
    <row r="269" spans="1:7" x14ac:dyDescent="0.25">
      <c r="A269" s="23">
        <v>267</v>
      </c>
      <c r="B269" s="23" t="s">
        <v>802</v>
      </c>
      <c r="C269" s="23" t="s">
        <v>421</v>
      </c>
      <c r="D269" s="23" t="s">
        <v>886</v>
      </c>
      <c r="E269" s="26">
        <v>12100</v>
      </c>
      <c r="F269" s="26">
        <f>Tabla1[[#This Row],[COSTO]]*(1+45%)</f>
        <v>17545</v>
      </c>
      <c r="G269" s="23">
        <v>0</v>
      </c>
    </row>
    <row r="270" spans="1:7" x14ac:dyDescent="0.25">
      <c r="A270" s="23">
        <v>268</v>
      </c>
      <c r="B270" s="23" t="s">
        <v>805</v>
      </c>
      <c r="C270" s="23" t="s">
        <v>762</v>
      </c>
      <c r="D270" s="23" t="s">
        <v>886</v>
      </c>
      <c r="E270" s="26">
        <v>12100</v>
      </c>
      <c r="F270" s="26">
        <f>Tabla1[[#This Row],[COSTO]]*(1+45%)</f>
        <v>17545</v>
      </c>
      <c r="G270" s="23">
        <v>0</v>
      </c>
    </row>
    <row r="271" spans="1:7" x14ac:dyDescent="0.25">
      <c r="A271" s="23">
        <v>269</v>
      </c>
      <c r="B271" s="23" t="s">
        <v>803</v>
      </c>
      <c r="C271" s="23" t="s">
        <v>422</v>
      </c>
      <c r="D271" s="23" t="s">
        <v>886</v>
      </c>
      <c r="E271" s="26">
        <v>18700</v>
      </c>
      <c r="F271" s="26">
        <f>Tabla1[[#This Row],[COSTO]]*(1+45%)</f>
        <v>27115</v>
      </c>
      <c r="G271" s="23">
        <v>0</v>
      </c>
    </row>
    <row r="272" spans="1:7" x14ac:dyDescent="0.25">
      <c r="A272" s="23">
        <v>270</v>
      </c>
      <c r="B272" s="23" t="s">
        <v>804</v>
      </c>
      <c r="C272" s="23" t="s">
        <v>763</v>
      </c>
      <c r="D272" s="23" t="s">
        <v>886</v>
      </c>
      <c r="E272" s="26">
        <v>18700</v>
      </c>
      <c r="F272" s="26">
        <f>Tabla1[[#This Row],[COSTO]]*(1+45%)</f>
        <v>27115</v>
      </c>
      <c r="G272" s="23">
        <v>1</v>
      </c>
    </row>
    <row r="273" spans="1:7" x14ac:dyDescent="0.25">
      <c r="A273" s="23">
        <v>271</v>
      </c>
      <c r="B273" s="23" t="s">
        <v>795</v>
      </c>
      <c r="C273" s="23" t="s">
        <v>764</v>
      </c>
      <c r="D273" s="23" t="s">
        <v>886</v>
      </c>
      <c r="E273" s="26">
        <v>14900</v>
      </c>
      <c r="F273" s="26">
        <f>Tabla1[[#This Row],[COSTO]]*(1+45%)</f>
        <v>21605</v>
      </c>
      <c r="G273" s="23">
        <v>0</v>
      </c>
    </row>
    <row r="274" spans="1:7" x14ac:dyDescent="0.25">
      <c r="A274" s="23">
        <v>272</v>
      </c>
      <c r="B274" s="23" t="s">
        <v>424</v>
      </c>
      <c r="C274" s="23" t="s">
        <v>423</v>
      </c>
      <c r="D274" s="23" t="s">
        <v>879</v>
      </c>
      <c r="E274" s="26">
        <v>25500</v>
      </c>
      <c r="F274" s="26">
        <f>Tabla1[[#This Row],[COSTO]]*(1+45%)</f>
        <v>36975</v>
      </c>
      <c r="G274" s="23">
        <v>1</v>
      </c>
    </row>
    <row r="275" spans="1:7" x14ac:dyDescent="0.25">
      <c r="A275" s="23">
        <v>273</v>
      </c>
      <c r="B275" s="23" t="s">
        <v>426</v>
      </c>
      <c r="C275" s="23" t="s">
        <v>425</v>
      </c>
      <c r="D275" s="23" t="s">
        <v>879</v>
      </c>
      <c r="E275" s="26">
        <v>2950</v>
      </c>
      <c r="F275" s="26">
        <f>Tabla1[[#This Row],[COSTO]]*(1+45%)</f>
        <v>4277.5</v>
      </c>
      <c r="G275" s="23">
        <v>10</v>
      </c>
    </row>
    <row r="276" spans="1:7" x14ac:dyDescent="0.25">
      <c r="A276" s="23">
        <v>274</v>
      </c>
      <c r="B276" s="23" t="s">
        <v>428</v>
      </c>
      <c r="C276" s="23" t="s">
        <v>427</v>
      </c>
      <c r="D276" s="23" t="s">
        <v>879</v>
      </c>
      <c r="E276" s="26">
        <v>6600</v>
      </c>
      <c r="F276" s="26">
        <f>Tabla1[[#This Row],[COSTO]]*(1+45%)</f>
        <v>9570</v>
      </c>
      <c r="G276" s="23">
        <v>4</v>
      </c>
    </row>
    <row r="277" spans="1:7" x14ac:dyDescent="0.25">
      <c r="A277" s="23">
        <v>275</v>
      </c>
      <c r="B277" s="23" t="s">
        <v>430</v>
      </c>
      <c r="C277" s="23" t="s">
        <v>429</v>
      </c>
      <c r="D277" s="23" t="s">
        <v>879</v>
      </c>
      <c r="E277" s="26">
        <v>24500</v>
      </c>
      <c r="F277" s="26">
        <f>Tabla1[[#This Row],[COSTO]]*(1+45%)</f>
        <v>35525</v>
      </c>
      <c r="G277" s="23">
        <v>1</v>
      </c>
    </row>
    <row r="278" spans="1:7" x14ac:dyDescent="0.25">
      <c r="A278" s="23">
        <v>276</v>
      </c>
      <c r="B278" s="23" t="s">
        <v>432</v>
      </c>
      <c r="C278" s="23" t="s">
        <v>431</v>
      </c>
      <c r="D278" s="23" t="s">
        <v>879</v>
      </c>
      <c r="E278" s="26">
        <v>8990</v>
      </c>
      <c r="F278" s="26">
        <f>Tabla1[[#This Row],[COSTO]]*(1+45%)</f>
        <v>13035.5</v>
      </c>
      <c r="G278" s="23">
        <v>3</v>
      </c>
    </row>
    <row r="279" spans="1:7" x14ac:dyDescent="0.25">
      <c r="A279" s="23">
        <v>277</v>
      </c>
      <c r="B279" s="23" t="s">
        <v>434</v>
      </c>
      <c r="C279" s="23" t="s">
        <v>433</v>
      </c>
      <c r="D279" s="23" t="s">
        <v>879</v>
      </c>
      <c r="E279" s="26">
        <v>14500</v>
      </c>
      <c r="F279" s="26">
        <f>Tabla1[[#This Row],[COSTO]]*(1+45%)</f>
        <v>21025</v>
      </c>
      <c r="G279" s="23">
        <v>2</v>
      </c>
    </row>
    <row r="280" spans="1:7" x14ac:dyDescent="0.25">
      <c r="A280" s="23">
        <v>278</v>
      </c>
      <c r="B280" s="23" t="s">
        <v>436</v>
      </c>
      <c r="C280" s="23" t="s">
        <v>435</v>
      </c>
      <c r="D280" s="23" t="s">
        <v>869</v>
      </c>
      <c r="E280" s="26">
        <v>24100</v>
      </c>
      <c r="F280" s="26">
        <f>Tabla1[[#This Row],[COSTO]]*(1+45%)</f>
        <v>34945</v>
      </c>
      <c r="G280" s="23">
        <v>1</v>
      </c>
    </row>
    <row r="281" spans="1:7" x14ac:dyDescent="0.25">
      <c r="A281" s="23">
        <v>279</v>
      </c>
      <c r="B281" s="23" t="s">
        <v>1</v>
      </c>
      <c r="C281" s="23" t="s">
        <v>437</v>
      </c>
      <c r="D281" s="23" t="s">
        <v>821</v>
      </c>
      <c r="E281" s="26">
        <v>24300</v>
      </c>
      <c r="F281" s="26">
        <f>Tabla1[[#This Row],[COSTO]]*(1+45%)</f>
        <v>35235</v>
      </c>
      <c r="G281" s="23">
        <v>1</v>
      </c>
    </row>
    <row r="282" spans="1:7" x14ac:dyDescent="0.25">
      <c r="A282" s="23">
        <v>280</v>
      </c>
      <c r="B282" s="23" t="s">
        <v>2</v>
      </c>
      <c r="C282" s="23" t="s">
        <v>438</v>
      </c>
      <c r="D282" s="23" t="s">
        <v>821</v>
      </c>
      <c r="E282" s="26">
        <v>28400</v>
      </c>
      <c r="F282" s="26">
        <f>Tabla1[[#This Row],[COSTO]]*(1+45%)</f>
        <v>41180</v>
      </c>
      <c r="G282" s="23">
        <v>0</v>
      </c>
    </row>
    <row r="283" spans="1:7" x14ac:dyDescent="0.25">
      <c r="A283" s="23">
        <v>281</v>
      </c>
      <c r="B283" s="23" t="s">
        <v>440</v>
      </c>
      <c r="C283" s="23" t="s">
        <v>439</v>
      </c>
      <c r="D283" s="23" t="s">
        <v>821</v>
      </c>
      <c r="E283" s="26">
        <v>10600</v>
      </c>
      <c r="F283" s="26">
        <f>Tabla1[[#This Row],[COSTO]]*(1+45%)</f>
        <v>15370</v>
      </c>
      <c r="G283" s="23">
        <v>8</v>
      </c>
    </row>
    <row r="284" spans="1:7" x14ac:dyDescent="0.25">
      <c r="A284" s="23">
        <v>282</v>
      </c>
      <c r="B284" s="23" t="s">
        <v>442</v>
      </c>
      <c r="C284" s="23" t="s">
        <v>441</v>
      </c>
      <c r="D284" s="23" t="s">
        <v>821</v>
      </c>
      <c r="E284" s="26">
        <v>14700</v>
      </c>
      <c r="F284" s="26">
        <f>Tabla1[[#This Row],[COSTO]]*(1+45%)</f>
        <v>21315</v>
      </c>
      <c r="G284" s="23">
        <v>2</v>
      </c>
    </row>
    <row r="285" spans="1:7" x14ac:dyDescent="0.25">
      <c r="A285" s="23">
        <v>283</v>
      </c>
      <c r="B285" s="23" t="s">
        <v>797</v>
      </c>
      <c r="C285" s="23" t="s">
        <v>776</v>
      </c>
      <c r="D285" s="23" t="s">
        <v>870</v>
      </c>
      <c r="E285" s="26">
        <v>5400</v>
      </c>
      <c r="F285" s="26">
        <f>Tabla1[[#This Row],[COSTO]]*(1+45%)</f>
        <v>7830</v>
      </c>
      <c r="G285" s="23">
        <v>6</v>
      </c>
    </row>
    <row r="286" spans="1:7" x14ac:dyDescent="0.25">
      <c r="A286" s="23">
        <v>284</v>
      </c>
      <c r="B286" s="23" t="s">
        <v>444</v>
      </c>
      <c r="C286" s="23" t="s">
        <v>443</v>
      </c>
      <c r="D286" s="23" t="s">
        <v>885</v>
      </c>
      <c r="E286" s="26">
        <v>4590</v>
      </c>
      <c r="F286" s="26">
        <f>Tabla1[[#This Row],[COSTO]]*(1+45%)</f>
        <v>6655.5</v>
      </c>
      <c r="G286" s="23">
        <v>17</v>
      </c>
    </row>
    <row r="287" spans="1:7" x14ac:dyDescent="0.25">
      <c r="A287" s="23">
        <v>285</v>
      </c>
      <c r="B287" s="23" t="s">
        <v>446</v>
      </c>
      <c r="C287" s="23" t="s">
        <v>445</v>
      </c>
      <c r="D287" s="23" t="s">
        <v>885</v>
      </c>
      <c r="E287" s="26">
        <v>10900</v>
      </c>
      <c r="F287" s="26">
        <f>Tabla1[[#This Row],[COSTO]]*(1+45%)</f>
        <v>15805</v>
      </c>
      <c r="G287" s="23">
        <v>8</v>
      </c>
    </row>
    <row r="288" spans="1:7" x14ac:dyDescent="0.25">
      <c r="A288" s="23">
        <v>286</v>
      </c>
      <c r="B288" s="23" t="s">
        <v>448</v>
      </c>
      <c r="C288" s="23" t="s">
        <v>447</v>
      </c>
      <c r="D288" s="23" t="s">
        <v>885</v>
      </c>
      <c r="E288" s="26">
        <v>5990</v>
      </c>
      <c r="F288" s="26">
        <f>Tabla1[[#This Row],[COSTO]]*(1+45%)</f>
        <v>8685.5</v>
      </c>
      <c r="G288" s="23">
        <v>20</v>
      </c>
    </row>
    <row r="289" spans="1:7" x14ac:dyDescent="0.25">
      <c r="A289" s="23">
        <v>287</v>
      </c>
      <c r="B289" s="23" t="s">
        <v>450</v>
      </c>
      <c r="C289" s="23" t="s">
        <v>449</v>
      </c>
      <c r="D289" s="23" t="s">
        <v>885</v>
      </c>
      <c r="E289" s="26">
        <v>6190</v>
      </c>
      <c r="F289" s="26">
        <f>Tabla1[[#This Row],[COSTO]]*(1+45%)</f>
        <v>8975.5</v>
      </c>
      <c r="G289" s="23">
        <v>19</v>
      </c>
    </row>
    <row r="290" spans="1:7" x14ac:dyDescent="0.25">
      <c r="A290" s="23">
        <v>288</v>
      </c>
      <c r="B290" s="23" t="s">
        <v>452</v>
      </c>
      <c r="C290" s="23" t="s">
        <v>451</v>
      </c>
      <c r="D290" s="23" t="s">
        <v>885</v>
      </c>
      <c r="E290" s="26">
        <v>7190</v>
      </c>
      <c r="F290" s="26">
        <f>Tabla1[[#This Row],[COSTO]]*(1+45%)</f>
        <v>10425.5</v>
      </c>
      <c r="G290" s="23">
        <v>10</v>
      </c>
    </row>
    <row r="291" spans="1:7" x14ac:dyDescent="0.25">
      <c r="A291" s="23">
        <v>289</v>
      </c>
      <c r="B291" s="23" t="s">
        <v>454</v>
      </c>
      <c r="C291" s="23" t="s">
        <v>453</v>
      </c>
      <c r="D291" s="23" t="s">
        <v>885</v>
      </c>
      <c r="E291" s="26">
        <v>5390</v>
      </c>
      <c r="F291" s="26">
        <f>Tabla1[[#This Row],[COSTO]]*(1+45%)</f>
        <v>7815.5</v>
      </c>
      <c r="G291" s="23">
        <v>8</v>
      </c>
    </row>
    <row r="292" spans="1:7" x14ac:dyDescent="0.25">
      <c r="A292" s="23">
        <v>290</v>
      </c>
      <c r="B292" s="23" t="s">
        <v>456</v>
      </c>
      <c r="C292" s="23" t="s">
        <v>455</v>
      </c>
      <c r="D292" s="23" t="s">
        <v>885</v>
      </c>
      <c r="E292" s="26">
        <v>6350</v>
      </c>
      <c r="F292" s="26">
        <f>Tabla1[[#This Row],[COSTO]]*(1+45%)</f>
        <v>9207.5</v>
      </c>
      <c r="G292" s="23">
        <v>19</v>
      </c>
    </row>
    <row r="293" spans="1:7" x14ac:dyDescent="0.25">
      <c r="A293" s="23">
        <v>291</v>
      </c>
      <c r="B293" s="23" t="s">
        <v>458</v>
      </c>
      <c r="C293" s="23" t="s">
        <v>457</v>
      </c>
      <c r="D293" s="23" t="s">
        <v>885</v>
      </c>
      <c r="E293" s="26">
        <v>4850</v>
      </c>
      <c r="F293" s="26">
        <f>Tabla1[[#This Row],[COSTO]]*(1+45%)</f>
        <v>7032.5</v>
      </c>
      <c r="G293" s="23">
        <v>8</v>
      </c>
    </row>
    <row r="294" spans="1:7" x14ac:dyDescent="0.25">
      <c r="A294" s="23">
        <v>292</v>
      </c>
      <c r="B294" s="23" t="s">
        <v>460</v>
      </c>
      <c r="C294" s="23" t="s">
        <v>459</v>
      </c>
      <c r="D294" s="23" t="s">
        <v>885</v>
      </c>
      <c r="E294" s="26">
        <v>3350</v>
      </c>
      <c r="F294" s="26">
        <f>Tabla1[[#This Row],[COSTO]]*(1+45%)</f>
        <v>4857.5</v>
      </c>
      <c r="G294" s="23">
        <v>10</v>
      </c>
    </row>
    <row r="295" spans="1:7" x14ac:dyDescent="0.25">
      <c r="A295" s="23">
        <v>293</v>
      </c>
      <c r="B295" s="23" t="s">
        <v>462</v>
      </c>
      <c r="C295" s="23" t="s">
        <v>461</v>
      </c>
      <c r="D295" s="23" t="s">
        <v>885</v>
      </c>
      <c r="E295" s="26">
        <v>3790</v>
      </c>
      <c r="F295" s="26">
        <f>Tabla1[[#This Row],[COSTO]]*(1+45%)</f>
        <v>5495.5</v>
      </c>
      <c r="G295" s="23">
        <v>6</v>
      </c>
    </row>
    <row r="296" spans="1:7" x14ac:dyDescent="0.25">
      <c r="A296" s="23">
        <v>294</v>
      </c>
      <c r="B296" s="23" t="s">
        <v>464</v>
      </c>
      <c r="C296" s="23" t="s">
        <v>463</v>
      </c>
      <c r="D296" s="23" t="s">
        <v>885</v>
      </c>
      <c r="E296" s="26">
        <v>4750</v>
      </c>
      <c r="F296" s="26">
        <f>Tabla1[[#This Row],[COSTO]]*(1+45%)</f>
        <v>6887.5</v>
      </c>
      <c r="G296" s="23">
        <v>12</v>
      </c>
    </row>
    <row r="297" spans="1:7" x14ac:dyDescent="0.25">
      <c r="A297" s="23">
        <v>295</v>
      </c>
      <c r="B297" s="23" t="s">
        <v>466</v>
      </c>
      <c r="C297" s="23" t="s">
        <v>465</v>
      </c>
      <c r="D297" s="23" t="s">
        <v>885</v>
      </c>
      <c r="E297" s="26">
        <v>4690</v>
      </c>
      <c r="F297" s="26">
        <f>Tabla1[[#This Row],[COSTO]]*(1+45%)</f>
        <v>6800.5</v>
      </c>
      <c r="G297" s="23">
        <v>19</v>
      </c>
    </row>
    <row r="298" spans="1:7" x14ac:dyDescent="0.25">
      <c r="A298" s="23">
        <v>296</v>
      </c>
      <c r="B298" s="23" t="s">
        <v>468</v>
      </c>
      <c r="C298" s="23" t="s">
        <v>467</v>
      </c>
      <c r="D298" s="23" t="s">
        <v>885</v>
      </c>
      <c r="E298" s="26">
        <v>5590</v>
      </c>
      <c r="F298" s="26">
        <f>Tabla1[[#This Row],[COSTO]]*(1+45%)</f>
        <v>8105.5</v>
      </c>
      <c r="G298" s="23">
        <v>25</v>
      </c>
    </row>
    <row r="299" spans="1:7" x14ac:dyDescent="0.25">
      <c r="A299" s="23">
        <v>297</v>
      </c>
      <c r="B299" s="23" t="s">
        <v>470</v>
      </c>
      <c r="C299" s="23" t="s">
        <v>469</v>
      </c>
      <c r="D299" s="23" t="s">
        <v>852</v>
      </c>
      <c r="E299" s="26">
        <v>8790</v>
      </c>
      <c r="F299" s="26">
        <f>Tabla1[[#This Row],[COSTO]]*(1+45%)</f>
        <v>12745.5</v>
      </c>
      <c r="G299" s="23">
        <v>9</v>
      </c>
    </row>
    <row r="300" spans="1:7" x14ac:dyDescent="0.25">
      <c r="A300" s="23">
        <v>298</v>
      </c>
      <c r="B300" s="23" t="s">
        <v>472</v>
      </c>
      <c r="C300" s="23" t="s">
        <v>471</v>
      </c>
      <c r="D300" s="23" t="s">
        <v>871</v>
      </c>
      <c r="E300" s="26">
        <v>27500</v>
      </c>
      <c r="F300" s="26">
        <f>Tabla1[[#This Row],[COSTO]]*(1+45%)</f>
        <v>39875</v>
      </c>
      <c r="G300" s="23">
        <v>1</v>
      </c>
    </row>
    <row r="301" spans="1:7" x14ac:dyDescent="0.25">
      <c r="A301" s="23">
        <v>299</v>
      </c>
      <c r="B301" s="23" t="s">
        <v>474</v>
      </c>
      <c r="C301" s="23" t="s">
        <v>473</v>
      </c>
      <c r="D301" s="23" t="s">
        <v>887</v>
      </c>
      <c r="E301" s="26">
        <v>27500</v>
      </c>
      <c r="F301" s="26">
        <f>Tabla1[[#This Row],[COSTO]]*(1+45%)</f>
        <v>39875</v>
      </c>
      <c r="G301" s="23">
        <v>2</v>
      </c>
    </row>
    <row r="302" spans="1:7" x14ac:dyDescent="0.25">
      <c r="A302" s="23">
        <v>300</v>
      </c>
      <c r="B302" s="23" t="s">
        <v>476</v>
      </c>
      <c r="C302" s="23" t="s">
        <v>475</v>
      </c>
      <c r="D302" s="23" t="s">
        <v>887</v>
      </c>
      <c r="E302" s="26">
        <v>6790</v>
      </c>
      <c r="F302" s="26">
        <f>Tabla1[[#This Row],[COSTO]]*(1+45%)</f>
        <v>9845.5</v>
      </c>
      <c r="G302" s="23">
        <v>6</v>
      </c>
    </row>
    <row r="303" spans="1:7" x14ac:dyDescent="0.25">
      <c r="A303" s="23">
        <v>301</v>
      </c>
      <c r="B303" s="23" t="s">
        <v>478</v>
      </c>
      <c r="C303" s="23" t="s">
        <v>477</v>
      </c>
      <c r="D303" s="23" t="s">
        <v>887</v>
      </c>
      <c r="E303" s="26">
        <v>2500</v>
      </c>
      <c r="F303" s="26">
        <f>Tabla1[[#This Row],[COSTO]]*(1+45%)</f>
        <v>3625</v>
      </c>
      <c r="G303" s="23">
        <v>8</v>
      </c>
    </row>
    <row r="304" spans="1:7" x14ac:dyDescent="0.25">
      <c r="A304" s="23">
        <v>302</v>
      </c>
      <c r="B304" s="23" t="s">
        <v>480</v>
      </c>
      <c r="C304" s="23" t="s">
        <v>479</v>
      </c>
      <c r="D304" s="23" t="s">
        <v>887</v>
      </c>
      <c r="E304" s="26">
        <v>6990</v>
      </c>
      <c r="F304" s="26">
        <f>Tabla1[[#This Row],[COSTO]]*(1+45%)</f>
        <v>10135.5</v>
      </c>
      <c r="G304" s="23">
        <v>5</v>
      </c>
    </row>
    <row r="305" spans="1:7" x14ac:dyDescent="0.25">
      <c r="A305" s="23">
        <v>303</v>
      </c>
      <c r="B305" s="23" t="s">
        <v>482</v>
      </c>
      <c r="C305" s="23" t="s">
        <v>481</v>
      </c>
      <c r="D305" s="23" t="s">
        <v>887</v>
      </c>
      <c r="E305" s="26">
        <v>2300</v>
      </c>
      <c r="F305" s="26">
        <f>Tabla1[[#This Row],[COSTO]]*(1+45%)</f>
        <v>3335</v>
      </c>
      <c r="G305" s="23">
        <v>8</v>
      </c>
    </row>
    <row r="306" spans="1:7" x14ac:dyDescent="0.25">
      <c r="A306" s="23">
        <v>304</v>
      </c>
      <c r="B306" s="23" t="s">
        <v>484</v>
      </c>
      <c r="C306" s="23" t="s">
        <v>483</v>
      </c>
      <c r="D306" s="23" t="s">
        <v>887</v>
      </c>
      <c r="E306" s="26">
        <v>18300</v>
      </c>
      <c r="F306" s="26">
        <f>Tabla1[[#This Row],[COSTO]]*(1+45%)</f>
        <v>26535</v>
      </c>
      <c r="G306" s="23">
        <v>8</v>
      </c>
    </row>
    <row r="307" spans="1:7" x14ac:dyDescent="0.25">
      <c r="A307" s="23">
        <v>305</v>
      </c>
      <c r="B307" s="23" t="s">
        <v>486</v>
      </c>
      <c r="C307" s="23" t="s">
        <v>485</v>
      </c>
      <c r="D307" s="23" t="s">
        <v>880</v>
      </c>
      <c r="E307" s="26">
        <v>5850</v>
      </c>
      <c r="F307" s="26">
        <f>Tabla1[[#This Row],[COSTO]]*(1+45%)</f>
        <v>8482.5</v>
      </c>
      <c r="G307" s="23">
        <v>8</v>
      </c>
    </row>
    <row r="308" spans="1:7" x14ac:dyDescent="0.25">
      <c r="A308" s="23">
        <v>306</v>
      </c>
      <c r="B308" s="23" t="s">
        <v>488</v>
      </c>
      <c r="C308" s="23" t="s">
        <v>487</v>
      </c>
      <c r="D308" s="23" t="s">
        <v>880</v>
      </c>
      <c r="E308" s="26">
        <v>16500</v>
      </c>
      <c r="F308" s="26">
        <f>Tabla1[[#This Row],[COSTO]]*(1+45%)</f>
        <v>23925</v>
      </c>
      <c r="G308" s="23">
        <v>1</v>
      </c>
    </row>
    <row r="309" spans="1:7" x14ac:dyDescent="0.25">
      <c r="A309" s="23">
        <v>307</v>
      </c>
      <c r="B309" s="23" t="s">
        <v>488</v>
      </c>
      <c r="C309" s="23" t="s">
        <v>489</v>
      </c>
      <c r="D309" s="23" t="s">
        <v>880</v>
      </c>
      <c r="E309" s="26">
        <v>16500</v>
      </c>
      <c r="F309" s="26">
        <f>Tabla1[[#This Row],[COSTO]]*(1+45%)</f>
        <v>23925</v>
      </c>
      <c r="G309" s="23">
        <v>3</v>
      </c>
    </row>
    <row r="310" spans="1:7" x14ac:dyDescent="0.25">
      <c r="A310" s="23">
        <v>308</v>
      </c>
      <c r="B310" s="23" t="s">
        <v>491</v>
      </c>
      <c r="C310" s="23" t="s">
        <v>490</v>
      </c>
      <c r="D310" s="23" t="s">
        <v>897</v>
      </c>
      <c r="E310" s="26">
        <v>24900</v>
      </c>
      <c r="F310" s="26">
        <f>Tabla1[[#This Row],[COSTO]]*(1+45%)</f>
        <v>36105</v>
      </c>
      <c r="G310" s="23">
        <v>10</v>
      </c>
    </row>
    <row r="311" spans="1:7" x14ac:dyDescent="0.25">
      <c r="A311" s="23">
        <v>309</v>
      </c>
      <c r="B311" s="23" t="s">
        <v>493</v>
      </c>
      <c r="C311" s="23" t="s">
        <v>492</v>
      </c>
      <c r="D311" s="23" t="s">
        <v>888</v>
      </c>
      <c r="E311" s="26">
        <v>5190</v>
      </c>
      <c r="F311" s="26">
        <f>Tabla1[[#This Row],[COSTO]]*(1+45%)</f>
        <v>7525.5</v>
      </c>
      <c r="G311" s="23">
        <v>10</v>
      </c>
    </row>
    <row r="312" spans="1:7" x14ac:dyDescent="0.25">
      <c r="A312" s="23">
        <v>310</v>
      </c>
      <c r="B312" s="23" t="s">
        <v>495</v>
      </c>
      <c r="C312" s="23" t="s">
        <v>494</v>
      </c>
      <c r="D312" s="23" t="s">
        <v>888</v>
      </c>
      <c r="E312" s="26">
        <v>16500</v>
      </c>
      <c r="F312" s="26">
        <f>Tabla1[[#This Row],[COSTO]]*(1+45%)</f>
        <v>23925</v>
      </c>
      <c r="G312" s="23">
        <v>30</v>
      </c>
    </row>
    <row r="313" spans="1:7" x14ac:dyDescent="0.25">
      <c r="A313" s="23">
        <v>311</v>
      </c>
      <c r="B313" s="23" t="s">
        <v>751</v>
      </c>
      <c r="C313" s="23" t="s">
        <v>750</v>
      </c>
      <c r="D313" s="23" t="s">
        <v>888</v>
      </c>
      <c r="E313" s="26">
        <v>8950</v>
      </c>
      <c r="F313" s="26">
        <f>Tabla1[[#This Row],[COSTO]]*(1+45%)</f>
        <v>12977.5</v>
      </c>
      <c r="G313" s="23">
        <v>2</v>
      </c>
    </row>
    <row r="314" spans="1:7" x14ac:dyDescent="0.25">
      <c r="A314" s="23">
        <v>312</v>
      </c>
      <c r="B314" s="23" t="s">
        <v>755</v>
      </c>
      <c r="C314" s="23" t="s">
        <v>748</v>
      </c>
      <c r="D314" s="23" t="s">
        <v>888</v>
      </c>
      <c r="E314" s="26">
        <v>11900</v>
      </c>
      <c r="F314" s="26">
        <f>Tabla1[[#This Row],[COSTO]]*(1+45%)</f>
        <v>17255</v>
      </c>
      <c r="G314" s="23">
        <v>5</v>
      </c>
    </row>
    <row r="315" spans="1:7" x14ac:dyDescent="0.25">
      <c r="A315" s="23">
        <v>313</v>
      </c>
      <c r="B315" s="23" t="s">
        <v>497</v>
      </c>
      <c r="C315" s="23" t="s">
        <v>496</v>
      </c>
      <c r="D315" s="23" t="s">
        <v>888</v>
      </c>
      <c r="E315" s="26">
        <v>18700</v>
      </c>
      <c r="F315" s="26">
        <f>Tabla1[[#This Row],[COSTO]]*(1+45%)</f>
        <v>27115</v>
      </c>
      <c r="G315" s="23">
        <v>1</v>
      </c>
    </row>
    <row r="316" spans="1:7" s="5" customFormat="1" x14ac:dyDescent="0.25">
      <c r="A316" s="23">
        <v>314</v>
      </c>
      <c r="B316" s="23" t="s">
        <v>499</v>
      </c>
      <c r="C316" s="23" t="s">
        <v>498</v>
      </c>
      <c r="D316" s="23" t="s">
        <v>888</v>
      </c>
      <c r="E316" s="26">
        <v>8950</v>
      </c>
      <c r="F316" s="26">
        <f>Tabla1[[#This Row],[COSTO]]*(1+45%)</f>
        <v>12977.5</v>
      </c>
      <c r="G316" s="23">
        <v>2</v>
      </c>
    </row>
    <row r="317" spans="1:7" x14ac:dyDescent="0.25">
      <c r="A317" s="23">
        <v>315</v>
      </c>
      <c r="B317" s="23" t="s">
        <v>501</v>
      </c>
      <c r="C317" s="23" t="s">
        <v>500</v>
      </c>
      <c r="D317" s="23" t="s">
        <v>888</v>
      </c>
      <c r="E317" s="26">
        <v>2410</v>
      </c>
      <c r="F317" s="26">
        <f>Tabla1[[#This Row],[COSTO]]*(1+45%)</f>
        <v>3494.5</v>
      </c>
      <c r="G317" s="23">
        <v>5</v>
      </c>
    </row>
    <row r="318" spans="1:7" x14ac:dyDescent="0.25">
      <c r="A318" s="23">
        <v>316</v>
      </c>
      <c r="B318" s="23" t="s">
        <v>503</v>
      </c>
      <c r="C318" s="23" t="s">
        <v>502</v>
      </c>
      <c r="D318" s="23" t="s">
        <v>888</v>
      </c>
      <c r="E318" s="26">
        <v>1950</v>
      </c>
      <c r="F318" s="26">
        <f>Tabla1[[#This Row],[COSTO]]*(1+45%)</f>
        <v>2827.5</v>
      </c>
      <c r="G318" s="23">
        <v>12</v>
      </c>
    </row>
    <row r="319" spans="1:7" x14ac:dyDescent="0.25">
      <c r="A319" s="23">
        <v>317</v>
      </c>
      <c r="B319" s="23" t="s">
        <v>505</v>
      </c>
      <c r="C319" s="23" t="s">
        <v>504</v>
      </c>
      <c r="D319" s="23" t="s">
        <v>888</v>
      </c>
      <c r="E319" s="26">
        <v>2150</v>
      </c>
      <c r="F319" s="26">
        <f>Tabla1[[#This Row],[COSTO]]*(1+45%)</f>
        <v>3117.5</v>
      </c>
      <c r="G319" s="23">
        <v>10</v>
      </c>
    </row>
    <row r="320" spans="1:7" x14ac:dyDescent="0.25">
      <c r="A320" s="23">
        <v>318</v>
      </c>
      <c r="B320" s="23" t="s">
        <v>507</v>
      </c>
      <c r="C320" s="23" t="s">
        <v>506</v>
      </c>
      <c r="D320" s="23" t="s">
        <v>889</v>
      </c>
      <c r="E320" s="26">
        <v>4650</v>
      </c>
      <c r="F320" s="26">
        <f>Tabla1[[#This Row],[COSTO]]*(1+45%)</f>
        <v>6742.5</v>
      </c>
      <c r="G320" s="23">
        <v>1</v>
      </c>
    </row>
    <row r="321" spans="1:7" x14ac:dyDescent="0.25">
      <c r="A321" s="23">
        <v>319</v>
      </c>
      <c r="B321" s="23" t="s">
        <v>507</v>
      </c>
      <c r="C321" s="23" t="s">
        <v>508</v>
      </c>
      <c r="D321" s="23" t="s">
        <v>889</v>
      </c>
      <c r="E321" s="26">
        <v>4650</v>
      </c>
      <c r="F321" s="26">
        <f>Tabla1[[#This Row],[COSTO]]*(1+45%)</f>
        <v>6742.5</v>
      </c>
      <c r="G321" s="23">
        <v>2</v>
      </c>
    </row>
    <row r="322" spans="1:7" x14ac:dyDescent="0.25">
      <c r="A322" s="23">
        <v>320</v>
      </c>
      <c r="B322" s="23" t="s">
        <v>507</v>
      </c>
      <c r="C322" s="23" t="s">
        <v>509</v>
      </c>
      <c r="D322" s="23" t="s">
        <v>889</v>
      </c>
      <c r="E322" s="26">
        <v>4650</v>
      </c>
      <c r="F322" s="26">
        <f>Tabla1[[#This Row],[COSTO]]*(1+45%)</f>
        <v>6742.5</v>
      </c>
      <c r="G322" s="23">
        <v>2</v>
      </c>
    </row>
    <row r="323" spans="1:7" x14ac:dyDescent="0.25">
      <c r="A323" s="23">
        <v>321</v>
      </c>
      <c r="B323" s="23" t="s">
        <v>507</v>
      </c>
      <c r="C323" s="23" t="s">
        <v>510</v>
      </c>
      <c r="D323" s="23" t="s">
        <v>889</v>
      </c>
      <c r="E323" s="26">
        <v>4650</v>
      </c>
      <c r="F323" s="26">
        <f>Tabla1[[#This Row],[COSTO]]*(1+45%)</f>
        <v>6742.5</v>
      </c>
      <c r="G323" s="23">
        <v>2</v>
      </c>
    </row>
    <row r="324" spans="1:7" x14ac:dyDescent="0.25">
      <c r="A324" s="23">
        <v>322</v>
      </c>
      <c r="B324" s="23" t="s">
        <v>507</v>
      </c>
      <c r="C324" s="23" t="s">
        <v>511</v>
      </c>
      <c r="D324" s="23" t="s">
        <v>889</v>
      </c>
      <c r="E324" s="26">
        <v>4650</v>
      </c>
      <c r="F324" s="26">
        <f>Tabla1[[#This Row],[COSTO]]*(1+45%)</f>
        <v>6742.5</v>
      </c>
      <c r="G324" s="23">
        <v>2</v>
      </c>
    </row>
    <row r="325" spans="1:7" x14ac:dyDescent="0.25">
      <c r="A325" s="23">
        <v>323</v>
      </c>
      <c r="B325" s="23" t="s">
        <v>507</v>
      </c>
      <c r="C325" s="23" t="s">
        <v>512</v>
      </c>
      <c r="D325" s="23" t="s">
        <v>889</v>
      </c>
      <c r="E325" s="26">
        <v>4650</v>
      </c>
      <c r="F325" s="26">
        <f>Tabla1[[#This Row],[COSTO]]*(1+45%)</f>
        <v>6742.5</v>
      </c>
      <c r="G325" s="23">
        <v>2</v>
      </c>
    </row>
    <row r="326" spans="1:7" x14ac:dyDescent="0.25">
      <c r="A326" s="23">
        <v>324</v>
      </c>
      <c r="B326" s="23" t="s">
        <v>742</v>
      </c>
      <c r="C326" s="23" t="s">
        <v>741</v>
      </c>
      <c r="D326" s="23" t="s">
        <v>889</v>
      </c>
      <c r="E326" s="26">
        <v>3490</v>
      </c>
      <c r="F326" s="26">
        <f>Tabla1[[#This Row],[COSTO]]*(1+45%)</f>
        <v>5060.5</v>
      </c>
      <c r="G326" s="23">
        <v>7</v>
      </c>
    </row>
    <row r="327" spans="1:7" x14ac:dyDescent="0.25">
      <c r="A327" s="23">
        <v>325</v>
      </c>
      <c r="B327" s="23" t="s">
        <v>514</v>
      </c>
      <c r="C327" s="23" t="s">
        <v>513</v>
      </c>
      <c r="D327" s="23" t="s">
        <v>889</v>
      </c>
      <c r="E327" s="26">
        <v>12200</v>
      </c>
      <c r="F327" s="26">
        <f>Tabla1[[#This Row],[COSTO]]*(1+45%)</f>
        <v>17690</v>
      </c>
      <c r="G327" s="23">
        <v>2</v>
      </c>
    </row>
    <row r="328" spans="1:7" x14ac:dyDescent="0.25">
      <c r="A328" s="23">
        <v>326</v>
      </c>
      <c r="B328" s="23" t="s">
        <v>516</v>
      </c>
      <c r="C328" s="23" t="s">
        <v>515</v>
      </c>
      <c r="D328" s="23" t="s">
        <v>889</v>
      </c>
      <c r="E328" s="26">
        <v>11900</v>
      </c>
      <c r="F328" s="26">
        <f>Tabla1[[#This Row],[COSTO]]*(1+45%)</f>
        <v>17255</v>
      </c>
      <c r="G328" s="23">
        <v>9</v>
      </c>
    </row>
    <row r="329" spans="1:7" x14ac:dyDescent="0.25">
      <c r="A329" s="23">
        <v>327</v>
      </c>
      <c r="B329" s="23" t="s">
        <v>812</v>
      </c>
      <c r="C329" s="23" t="s">
        <v>517</v>
      </c>
      <c r="D329" s="23" t="s">
        <v>889</v>
      </c>
      <c r="E329" s="26">
        <v>11900</v>
      </c>
      <c r="F329" s="26">
        <f>Tabla1[[#This Row],[COSTO]]*(1+45%)</f>
        <v>17255</v>
      </c>
      <c r="G329" s="23">
        <v>8</v>
      </c>
    </row>
    <row r="330" spans="1:7" x14ac:dyDescent="0.25">
      <c r="A330" s="23">
        <v>328</v>
      </c>
      <c r="B330" s="23" t="s">
        <v>519</v>
      </c>
      <c r="C330" s="23" t="s">
        <v>518</v>
      </c>
      <c r="D330" s="23" t="s">
        <v>889</v>
      </c>
      <c r="E330" s="26">
        <v>2490</v>
      </c>
      <c r="F330" s="26">
        <f>Tabla1[[#This Row],[COSTO]]*(1+45%)</f>
        <v>3610.5</v>
      </c>
      <c r="G330" s="23">
        <v>2</v>
      </c>
    </row>
    <row r="331" spans="1:7" x14ac:dyDescent="0.25">
      <c r="A331" s="23">
        <v>329</v>
      </c>
      <c r="B331" s="23" t="s">
        <v>519</v>
      </c>
      <c r="C331" s="23" t="s">
        <v>520</v>
      </c>
      <c r="D331" s="23" t="s">
        <v>889</v>
      </c>
      <c r="E331" s="26">
        <v>2490</v>
      </c>
      <c r="F331" s="26">
        <f>Tabla1[[#This Row],[COSTO]]*(1+45%)</f>
        <v>3610.5</v>
      </c>
      <c r="G331" s="23">
        <v>3</v>
      </c>
    </row>
    <row r="332" spans="1:7" x14ac:dyDescent="0.25">
      <c r="A332" s="23">
        <v>330</v>
      </c>
      <c r="B332" s="23" t="s">
        <v>522</v>
      </c>
      <c r="C332" s="23" t="s">
        <v>521</v>
      </c>
      <c r="D332" s="23" t="s">
        <v>889</v>
      </c>
      <c r="E332" s="26">
        <v>3450</v>
      </c>
      <c r="F332" s="26">
        <f>Tabla1[[#This Row],[COSTO]]*(1+45%)</f>
        <v>5002.5</v>
      </c>
      <c r="G332" s="23">
        <v>5</v>
      </c>
    </row>
    <row r="333" spans="1:7" x14ac:dyDescent="0.25">
      <c r="A333" s="23">
        <v>331</v>
      </c>
      <c r="B333" s="23" t="s">
        <v>522</v>
      </c>
      <c r="C333" s="23" t="s">
        <v>523</v>
      </c>
      <c r="D333" s="23" t="s">
        <v>889</v>
      </c>
      <c r="E333" s="26">
        <v>3450</v>
      </c>
      <c r="F333" s="26">
        <f>Tabla1[[#This Row],[COSTO]]*(1+45%)</f>
        <v>5002.5</v>
      </c>
      <c r="G333" s="23">
        <v>4</v>
      </c>
    </row>
    <row r="334" spans="1:7" x14ac:dyDescent="0.25">
      <c r="A334" s="23">
        <v>332</v>
      </c>
      <c r="B334" s="23" t="s">
        <v>525</v>
      </c>
      <c r="C334" s="23" t="s">
        <v>524</v>
      </c>
      <c r="D334" s="23" t="s">
        <v>889</v>
      </c>
      <c r="E334" s="26">
        <v>86500</v>
      </c>
      <c r="F334" s="26">
        <f>Tabla1[[#This Row],[COSTO]]*(1+45%)</f>
        <v>125425</v>
      </c>
      <c r="G334" s="23">
        <v>1</v>
      </c>
    </row>
    <row r="335" spans="1:7" x14ac:dyDescent="0.25">
      <c r="A335" s="23">
        <v>333</v>
      </c>
      <c r="B335" s="23" t="s">
        <v>527</v>
      </c>
      <c r="C335" s="23" t="s">
        <v>526</v>
      </c>
      <c r="D335" s="23" t="s">
        <v>889</v>
      </c>
      <c r="E335" s="26">
        <v>79900</v>
      </c>
      <c r="F335" s="26">
        <f>Tabla1[[#This Row],[COSTO]]*(1+45%)</f>
        <v>115855</v>
      </c>
      <c r="G335" s="23">
        <v>1</v>
      </c>
    </row>
    <row r="336" spans="1:7" x14ac:dyDescent="0.25">
      <c r="A336" s="23">
        <v>334</v>
      </c>
      <c r="B336" s="23" t="s">
        <v>529</v>
      </c>
      <c r="C336" s="23" t="s">
        <v>528</v>
      </c>
      <c r="D336" s="23" t="s">
        <v>889</v>
      </c>
      <c r="E336" s="26">
        <v>3750</v>
      </c>
      <c r="F336" s="26">
        <f>Tabla1[[#This Row],[COSTO]]*(1+45%)</f>
        <v>5437.5</v>
      </c>
      <c r="G336" s="23">
        <v>3</v>
      </c>
    </row>
    <row r="337" spans="1:7" x14ac:dyDescent="0.25">
      <c r="A337" s="23">
        <v>335</v>
      </c>
      <c r="B337" s="23" t="s">
        <v>529</v>
      </c>
      <c r="C337" s="23" t="s">
        <v>530</v>
      </c>
      <c r="D337" s="23" t="s">
        <v>889</v>
      </c>
      <c r="E337" s="26">
        <v>3750</v>
      </c>
      <c r="F337" s="26">
        <f>Tabla1[[#This Row],[COSTO]]*(1+45%)</f>
        <v>5437.5</v>
      </c>
      <c r="G337" s="23">
        <v>3</v>
      </c>
    </row>
    <row r="338" spans="1:7" x14ac:dyDescent="0.25">
      <c r="A338" s="23">
        <v>336</v>
      </c>
      <c r="B338" s="23" t="s">
        <v>745</v>
      </c>
      <c r="C338" s="23" t="s">
        <v>744</v>
      </c>
      <c r="D338" s="23" t="s">
        <v>889</v>
      </c>
      <c r="E338" s="26">
        <v>3990</v>
      </c>
      <c r="F338" s="26">
        <f>Tabla1[[#This Row],[COSTO]]*(1+45%)</f>
        <v>5785.5</v>
      </c>
      <c r="G338" s="23">
        <v>5</v>
      </c>
    </row>
    <row r="339" spans="1:7" x14ac:dyDescent="0.25">
      <c r="A339" s="23">
        <v>337</v>
      </c>
      <c r="B339" s="23" t="s">
        <v>745</v>
      </c>
      <c r="C339" s="23" t="s">
        <v>746</v>
      </c>
      <c r="D339" s="23" t="s">
        <v>889</v>
      </c>
      <c r="E339" s="26">
        <v>3990</v>
      </c>
      <c r="F339" s="26">
        <f>Tabla1[[#This Row],[COSTO]]*(1+45%)</f>
        <v>5785.5</v>
      </c>
      <c r="G339" s="23">
        <v>5</v>
      </c>
    </row>
    <row r="340" spans="1:7" x14ac:dyDescent="0.25">
      <c r="A340" s="23">
        <v>338</v>
      </c>
      <c r="B340" s="23" t="s">
        <v>532</v>
      </c>
      <c r="C340" s="23" t="s">
        <v>531</v>
      </c>
      <c r="D340" s="23" t="s">
        <v>889</v>
      </c>
      <c r="E340" s="26">
        <v>3550</v>
      </c>
      <c r="F340" s="26">
        <f>Tabla1[[#This Row],[COSTO]]*(1+45%)</f>
        <v>5147.5</v>
      </c>
      <c r="G340" s="23">
        <v>10</v>
      </c>
    </row>
    <row r="341" spans="1:7" x14ac:dyDescent="0.25">
      <c r="A341" s="23">
        <v>339</v>
      </c>
      <c r="B341" s="23" t="s">
        <v>532</v>
      </c>
      <c r="C341" s="23" t="s">
        <v>533</v>
      </c>
      <c r="D341" s="23" t="s">
        <v>889</v>
      </c>
      <c r="E341" s="26">
        <v>3550</v>
      </c>
      <c r="F341" s="26">
        <f>Tabla1[[#This Row],[COSTO]]*(1+45%)</f>
        <v>5147.5</v>
      </c>
      <c r="G341" s="23">
        <v>5</v>
      </c>
    </row>
    <row r="342" spans="1:7" x14ac:dyDescent="0.25">
      <c r="A342" s="23">
        <v>340</v>
      </c>
      <c r="B342" s="23" t="s">
        <v>535</v>
      </c>
      <c r="C342" s="23" t="s">
        <v>534</v>
      </c>
      <c r="D342" s="23" t="s">
        <v>889</v>
      </c>
      <c r="E342" s="26">
        <v>2450</v>
      </c>
      <c r="F342" s="26">
        <f>Tabla1[[#This Row],[COSTO]]*(1+45%)</f>
        <v>3552.5</v>
      </c>
      <c r="G342" s="23">
        <v>5</v>
      </c>
    </row>
    <row r="343" spans="1:7" x14ac:dyDescent="0.25">
      <c r="A343" s="23">
        <v>341</v>
      </c>
      <c r="B343" s="23" t="s">
        <v>535</v>
      </c>
      <c r="C343" s="23" t="s">
        <v>536</v>
      </c>
      <c r="D343" s="23" t="s">
        <v>889</v>
      </c>
      <c r="E343" s="26">
        <v>2450</v>
      </c>
      <c r="F343" s="26">
        <f>Tabla1[[#This Row],[COSTO]]*(1+45%)</f>
        <v>3552.5</v>
      </c>
      <c r="G343" s="23">
        <v>5</v>
      </c>
    </row>
    <row r="344" spans="1:7" x14ac:dyDescent="0.25">
      <c r="A344" s="23">
        <v>342</v>
      </c>
      <c r="B344" s="23" t="s">
        <v>754</v>
      </c>
      <c r="C344" s="23" t="s">
        <v>747</v>
      </c>
      <c r="D344" s="23" t="s">
        <v>889</v>
      </c>
      <c r="E344" s="26">
        <v>2450</v>
      </c>
      <c r="F344" s="26">
        <f>Tabla1[[#This Row],[COSTO]]*(1+45%)</f>
        <v>3552.5</v>
      </c>
      <c r="G344" s="23">
        <v>5</v>
      </c>
    </row>
    <row r="345" spans="1:7" x14ac:dyDescent="0.25">
      <c r="A345" s="23">
        <v>343</v>
      </c>
      <c r="B345" s="23" t="s">
        <v>538</v>
      </c>
      <c r="C345" s="23" t="s">
        <v>537</v>
      </c>
      <c r="D345" s="23" t="s">
        <v>889</v>
      </c>
      <c r="E345" s="26">
        <v>82200</v>
      </c>
      <c r="F345" s="26">
        <f>Tabla1[[#This Row],[COSTO]]*(1+45%)</f>
        <v>119190</v>
      </c>
      <c r="G345" s="23">
        <v>1</v>
      </c>
    </row>
    <row r="346" spans="1:7" x14ac:dyDescent="0.25">
      <c r="A346" s="23">
        <v>344</v>
      </c>
      <c r="B346" s="23" t="s">
        <v>540</v>
      </c>
      <c r="C346" s="23" t="s">
        <v>539</v>
      </c>
      <c r="D346" s="23" t="s">
        <v>881</v>
      </c>
      <c r="E346" s="26">
        <v>1890</v>
      </c>
      <c r="F346" s="26">
        <f>Tabla1[[#This Row],[COSTO]]*(1+45%)</f>
        <v>2740.5</v>
      </c>
      <c r="G346" s="23">
        <v>0</v>
      </c>
    </row>
    <row r="347" spans="1:7" x14ac:dyDescent="0.25">
      <c r="A347" s="23">
        <v>345</v>
      </c>
      <c r="B347" s="23" t="s">
        <v>540</v>
      </c>
      <c r="C347" s="23" t="s">
        <v>541</v>
      </c>
      <c r="D347" s="23" t="s">
        <v>881</v>
      </c>
      <c r="E347" s="26">
        <v>1890</v>
      </c>
      <c r="F347" s="26">
        <f>Tabla1[[#This Row],[COSTO]]*(1+45%)</f>
        <v>2740.5</v>
      </c>
      <c r="G347" s="23">
        <v>1</v>
      </c>
    </row>
    <row r="348" spans="1:7" x14ac:dyDescent="0.25">
      <c r="A348" s="23">
        <v>346</v>
      </c>
      <c r="B348" s="23" t="s">
        <v>540</v>
      </c>
      <c r="C348" s="23" t="s">
        <v>542</v>
      </c>
      <c r="D348" s="23" t="s">
        <v>881</v>
      </c>
      <c r="E348" s="26">
        <v>1890</v>
      </c>
      <c r="F348" s="26">
        <f>Tabla1[[#This Row],[COSTO]]*(1+45%)</f>
        <v>2740.5</v>
      </c>
      <c r="G348" s="23">
        <v>1</v>
      </c>
    </row>
    <row r="349" spans="1:7" x14ac:dyDescent="0.25">
      <c r="A349" s="23">
        <v>347</v>
      </c>
      <c r="B349" s="23" t="s">
        <v>544</v>
      </c>
      <c r="C349" s="23" t="s">
        <v>543</v>
      </c>
      <c r="D349" s="23" t="s">
        <v>881</v>
      </c>
      <c r="E349" s="26">
        <v>3590</v>
      </c>
      <c r="F349" s="26">
        <f>Tabla1[[#This Row],[COSTO]]*(1+45%)</f>
        <v>5205.5</v>
      </c>
      <c r="G349" s="23">
        <v>3</v>
      </c>
    </row>
    <row r="350" spans="1:7" x14ac:dyDescent="0.25">
      <c r="A350" s="23">
        <v>348</v>
      </c>
      <c r="B350" s="23" t="s">
        <v>758</v>
      </c>
      <c r="C350" s="23" t="s">
        <v>757</v>
      </c>
      <c r="D350" s="23" t="s">
        <v>881</v>
      </c>
      <c r="E350" s="26">
        <v>42500</v>
      </c>
      <c r="F350" s="26">
        <f>Tabla1[[#This Row],[COSTO]]*(1+45%)</f>
        <v>61625</v>
      </c>
      <c r="G350" s="23">
        <v>0</v>
      </c>
    </row>
    <row r="351" spans="1:7" x14ac:dyDescent="0.25">
      <c r="A351" s="23">
        <v>349</v>
      </c>
      <c r="B351" s="23" t="s">
        <v>546</v>
      </c>
      <c r="C351" s="23" t="s">
        <v>545</v>
      </c>
      <c r="D351" s="23" t="s">
        <v>890</v>
      </c>
      <c r="E351" s="26">
        <v>250</v>
      </c>
      <c r="F351" s="26">
        <f>Tabla1[[#This Row],[COSTO]]*(1+45%)</f>
        <v>362.5</v>
      </c>
      <c r="G351" s="23">
        <v>100</v>
      </c>
    </row>
    <row r="352" spans="1:7" x14ac:dyDescent="0.25">
      <c r="A352" s="23">
        <v>350</v>
      </c>
      <c r="B352" s="23" t="s">
        <v>548</v>
      </c>
      <c r="C352" s="23" t="s">
        <v>547</v>
      </c>
      <c r="D352" s="23" t="s">
        <v>872</v>
      </c>
      <c r="E352" s="26">
        <v>2450</v>
      </c>
      <c r="F352" s="26">
        <f>Tabla1[[#This Row],[COSTO]]*(1+45%)</f>
        <v>3552.5</v>
      </c>
      <c r="G352" s="23">
        <v>15</v>
      </c>
    </row>
    <row r="353" spans="1:7" x14ac:dyDescent="0.25">
      <c r="A353" s="23">
        <v>351</v>
      </c>
      <c r="B353" s="23" t="s">
        <v>550</v>
      </c>
      <c r="C353" s="23" t="s">
        <v>549</v>
      </c>
      <c r="D353" s="23" t="s">
        <v>873</v>
      </c>
      <c r="E353" s="26">
        <v>5850</v>
      </c>
      <c r="F353" s="26">
        <f>Tabla1[[#This Row],[COSTO]]*(1+45%)</f>
        <v>8482.5</v>
      </c>
      <c r="G353" s="23">
        <v>7</v>
      </c>
    </row>
    <row r="354" spans="1:7" x14ac:dyDescent="0.25">
      <c r="A354" s="23">
        <v>352</v>
      </c>
      <c r="B354" s="23" t="s">
        <v>552</v>
      </c>
      <c r="C354" s="23" t="s">
        <v>551</v>
      </c>
      <c r="D354" s="23" t="s">
        <v>853</v>
      </c>
      <c r="E354" s="26">
        <v>9990</v>
      </c>
      <c r="F354" s="26">
        <f>Tabla1[[#This Row],[COSTO]]*(1+45%)</f>
        <v>14485.5</v>
      </c>
      <c r="G354" s="23">
        <v>5</v>
      </c>
    </row>
    <row r="355" spans="1:7" x14ac:dyDescent="0.25">
      <c r="A355" s="23">
        <v>353</v>
      </c>
      <c r="B355" s="23" t="s">
        <v>552</v>
      </c>
      <c r="C355" s="23" t="s">
        <v>553</v>
      </c>
      <c r="D355" s="23" t="s">
        <v>853</v>
      </c>
      <c r="E355" s="26">
        <v>9990</v>
      </c>
      <c r="F355" s="26">
        <f>Tabla1[[#This Row],[COSTO]]*(1+45%)</f>
        <v>14485.5</v>
      </c>
      <c r="G355" s="23">
        <v>4</v>
      </c>
    </row>
    <row r="356" spans="1:7" x14ac:dyDescent="0.25">
      <c r="A356" s="23">
        <v>354</v>
      </c>
      <c r="B356" s="23" t="s">
        <v>555</v>
      </c>
      <c r="C356" s="23" t="s">
        <v>554</v>
      </c>
      <c r="D356" s="23" t="s">
        <v>874</v>
      </c>
      <c r="E356" s="26">
        <v>15900</v>
      </c>
      <c r="F356" s="26">
        <f>Tabla1[[#This Row],[COSTO]]*(1+45%)</f>
        <v>23055</v>
      </c>
      <c r="G356" s="23">
        <v>2</v>
      </c>
    </row>
    <row r="357" spans="1:7" x14ac:dyDescent="0.25">
      <c r="A357" s="23">
        <v>355</v>
      </c>
      <c r="B357" s="23" t="s">
        <v>555</v>
      </c>
      <c r="C357" s="23" t="s">
        <v>556</v>
      </c>
      <c r="D357" s="23" t="s">
        <v>874</v>
      </c>
      <c r="E357" s="26">
        <v>15900</v>
      </c>
      <c r="F357" s="26">
        <f>Tabla1[[#This Row],[COSTO]]*(1+45%)</f>
        <v>23055</v>
      </c>
      <c r="G357" s="23">
        <v>1</v>
      </c>
    </row>
    <row r="358" spans="1:7" x14ac:dyDescent="0.25">
      <c r="A358" s="23">
        <v>356</v>
      </c>
      <c r="B358" s="23" t="s">
        <v>558</v>
      </c>
      <c r="C358" s="23" t="s">
        <v>557</v>
      </c>
      <c r="D358" s="23" t="s">
        <v>875</v>
      </c>
      <c r="E358" s="26">
        <v>29300</v>
      </c>
      <c r="F358" s="26">
        <f>Tabla1[[#This Row],[COSTO]]*(1+45%)</f>
        <v>42485</v>
      </c>
      <c r="G358" s="23">
        <v>2</v>
      </c>
    </row>
    <row r="359" spans="1:7" x14ac:dyDescent="0.25">
      <c r="A359" s="23">
        <v>357</v>
      </c>
      <c r="B359" s="23" t="s">
        <v>560</v>
      </c>
      <c r="C359" s="23" t="s">
        <v>559</v>
      </c>
      <c r="D359" s="23" t="s">
        <v>853</v>
      </c>
      <c r="E359" s="26">
        <v>16500</v>
      </c>
      <c r="F359" s="26">
        <f>Tabla1[[#This Row],[COSTO]]*(1+45%)</f>
        <v>23925</v>
      </c>
      <c r="G359" s="23">
        <v>1</v>
      </c>
    </row>
    <row r="360" spans="1:7" x14ac:dyDescent="0.25">
      <c r="A360" s="23">
        <v>358</v>
      </c>
      <c r="B360" s="23" t="s">
        <v>560</v>
      </c>
      <c r="C360" s="23" t="s">
        <v>561</v>
      </c>
      <c r="D360" s="23" t="s">
        <v>853</v>
      </c>
      <c r="E360" s="26">
        <v>16500</v>
      </c>
      <c r="F360" s="26">
        <f>Tabla1[[#This Row],[COSTO]]*(1+45%)</f>
        <v>23925</v>
      </c>
      <c r="G360" s="23">
        <v>1</v>
      </c>
    </row>
    <row r="361" spans="1:7" x14ac:dyDescent="0.25">
      <c r="A361" s="23">
        <v>359</v>
      </c>
      <c r="B361" s="23" t="s">
        <v>560</v>
      </c>
      <c r="C361" s="23" t="s">
        <v>562</v>
      </c>
      <c r="D361" s="23" t="s">
        <v>853</v>
      </c>
      <c r="E361" s="26">
        <v>16500</v>
      </c>
      <c r="F361" s="26">
        <f>Tabla1[[#This Row],[COSTO]]*(1+45%)</f>
        <v>23925</v>
      </c>
      <c r="G361" s="23">
        <v>1</v>
      </c>
    </row>
    <row r="362" spans="1:7" x14ac:dyDescent="0.25">
      <c r="A362" s="23">
        <v>360</v>
      </c>
      <c r="B362" s="23" t="s">
        <v>564</v>
      </c>
      <c r="C362" s="23" t="s">
        <v>563</v>
      </c>
      <c r="D362" s="23" t="s">
        <v>891</v>
      </c>
      <c r="E362" s="26">
        <v>6050</v>
      </c>
      <c r="F362" s="26">
        <f>Tabla1[[#This Row],[COSTO]]*(1+45%)</f>
        <v>8772.5</v>
      </c>
      <c r="G362" s="23">
        <v>9</v>
      </c>
    </row>
    <row r="363" spans="1:7" x14ac:dyDescent="0.25">
      <c r="A363" s="23">
        <v>361</v>
      </c>
      <c r="B363" s="23" t="s">
        <v>566</v>
      </c>
      <c r="C363" s="23" t="s">
        <v>565</v>
      </c>
      <c r="D363" s="23" t="s">
        <v>892</v>
      </c>
      <c r="E363" s="26">
        <v>7650</v>
      </c>
      <c r="F363" s="26">
        <f>Tabla1[[#This Row],[COSTO]]*(1+45%)</f>
        <v>11092.5</v>
      </c>
      <c r="G363" s="23">
        <v>3</v>
      </c>
    </row>
    <row r="364" spans="1:7" x14ac:dyDescent="0.25">
      <c r="A364" s="23">
        <v>362</v>
      </c>
      <c r="B364" s="23" t="s">
        <v>568</v>
      </c>
      <c r="C364" s="23" t="s">
        <v>567</v>
      </c>
      <c r="D364" s="23" t="s">
        <v>892</v>
      </c>
      <c r="E364" s="26">
        <v>6190</v>
      </c>
      <c r="F364" s="26">
        <f>Tabla1[[#This Row],[COSTO]]*(1+45%)</f>
        <v>8975.5</v>
      </c>
      <c r="G364" s="23">
        <v>4</v>
      </c>
    </row>
    <row r="365" spans="1:7" x14ac:dyDescent="0.25">
      <c r="A365" s="23">
        <v>363</v>
      </c>
      <c r="B365" s="23" t="s">
        <v>570</v>
      </c>
      <c r="C365" s="23" t="s">
        <v>569</v>
      </c>
      <c r="D365" s="23" t="s">
        <v>892</v>
      </c>
      <c r="E365" s="26">
        <v>9250</v>
      </c>
      <c r="F365" s="26">
        <f>Tabla1[[#This Row],[COSTO]]*(1+45%)</f>
        <v>13412.5</v>
      </c>
      <c r="G365" s="23">
        <v>2</v>
      </c>
    </row>
    <row r="366" spans="1:7" x14ac:dyDescent="0.25">
      <c r="A366" s="23">
        <v>364</v>
      </c>
      <c r="B366" s="23" t="s">
        <v>572</v>
      </c>
      <c r="C366" s="23" t="s">
        <v>571</v>
      </c>
      <c r="D366" s="23" t="s">
        <v>892</v>
      </c>
      <c r="E366" s="26">
        <v>9690</v>
      </c>
      <c r="F366" s="26">
        <f>Tabla1[[#This Row],[COSTO]]*(1+45%)</f>
        <v>14050.5</v>
      </c>
      <c r="G366" s="23">
        <v>4</v>
      </c>
    </row>
    <row r="367" spans="1:7" x14ac:dyDescent="0.25">
      <c r="A367" s="23">
        <v>365</v>
      </c>
      <c r="B367" s="23" t="s">
        <v>574</v>
      </c>
      <c r="C367" s="23" t="s">
        <v>573</v>
      </c>
      <c r="D367" s="23" t="s">
        <v>892</v>
      </c>
      <c r="E367" s="26">
        <v>7890</v>
      </c>
      <c r="F367" s="26">
        <f>Tabla1[[#This Row],[COSTO]]*(1+45%)</f>
        <v>11440.5</v>
      </c>
      <c r="G367" s="23">
        <v>5</v>
      </c>
    </row>
    <row r="368" spans="1:7" x14ac:dyDescent="0.25">
      <c r="A368" s="23">
        <v>366</v>
      </c>
      <c r="B368" s="23" t="s">
        <v>576</v>
      </c>
      <c r="C368" s="23" t="s">
        <v>575</v>
      </c>
      <c r="D368" s="23" t="s">
        <v>892</v>
      </c>
      <c r="E368" s="26">
        <v>8190</v>
      </c>
      <c r="F368" s="26">
        <f>Tabla1[[#This Row],[COSTO]]*(1+45%)</f>
        <v>11875.5</v>
      </c>
      <c r="G368" s="23">
        <v>3</v>
      </c>
    </row>
    <row r="369" spans="1:7" x14ac:dyDescent="0.25">
      <c r="A369" s="23">
        <v>367</v>
      </c>
      <c r="B369" s="23" t="s">
        <v>578</v>
      </c>
      <c r="C369" s="23" t="s">
        <v>577</v>
      </c>
      <c r="D369" s="23" t="s">
        <v>892</v>
      </c>
      <c r="E369" s="26">
        <v>14900</v>
      </c>
      <c r="F369" s="26">
        <f>Tabla1[[#This Row],[COSTO]]*(1+45%)</f>
        <v>21605</v>
      </c>
      <c r="G369" s="23">
        <v>3</v>
      </c>
    </row>
    <row r="370" spans="1:7" x14ac:dyDescent="0.25">
      <c r="A370" s="23">
        <v>368</v>
      </c>
      <c r="B370" s="23" t="s">
        <v>580</v>
      </c>
      <c r="C370" s="23" t="s">
        <v>579</v>
      </c>
      <c r="D370" s="23" t="s">
        <v>892</v>
      </c>
      <c r="E370" s="26">
        <v>14900</v>
      </c>
      <c r="F370" s="26">
        <f>Tabla1[[#This Row],[COSTO]]*(1+45%)</f>
        <v>21605</v>
      </c>
      <c r="G370" s="23">
        <v>3</v>
      </c>
    </row>
    <row r="371" spans="1:7" x14ac:dyDescent="0.25">
      <c r="A371" s="23">
        <v>369</v>
      </c>
      <c r="B371" s="23" t="s">
        <v>582</v>
      </c>
      <c r="C371" s="23" t="s">
        <v>581</v>
      </c>
      <c r="D371" s="23" t="s">
        <v>892</v>
      </c>
      <c r="E371" s="26">
        <v>15500</v>
      </c>
      <c r="F371" s="26">
        <f>Tabla1[[#This Row],[COSTO]]*(1+45%)</f>
        <v>22475</v>
      </c>
      <c r="G371" s="23">
        <v>3</v>
      </c>
    </row>
    <row r="372" spans="1:7" x14ac:dyDescent="0.25">
      <c r="A372" s="23">
        <v>370</v>
      </c>
      <c r="B372" s="23" t="s">
        <v>584</v>
      </c>
      <c r="C372" s="23" t="s">
        <v>583</v>
      </c>
      <c r="D372" s="23" t="s">
        <v>892</v>
      </c>
      <c r="E372" s="26">
        <v>15500</v>
      </c>
      <c r="F372" s="26">
        <f>Tabla1[[#This Row],[COSTO]]*(1+45%)</f>
        <v>22475</v>
      </c>
      <c r="G372" s="23">
        <v>4</v>
      </c>
    </row>
    <row r="373" spans="1:7" x14ac:dyDescent="0.25">
      <c r="A373" s="23">
        <v>371</v>
      </c>
      <c r="B373" s="23" t="s">
        <v>586</v>
      </c>
      <c r="C373" s="23" t="s">
        <v>585</v>
      </c>
      <c r="D373" s="23" t="s">
        <v>893</v>
      </c>
      <c r="E373" s="26">
        <v>6050</v>
      </c>
      <c r="F373" s="26">
        <f>Tabla1[[#This Row],[COSTO]]*(1+45%)</f>
        <v>8772.5</v>
      </c>
      <c r="G373" s="23">
        <v>4</v>
      </c>
    </row>
    <row r="374" spans="1:7" x14ac:dyDescent="0.25">
      <c r="A374" s="23">
        <v>372</v>
      </c>
      <c r="B374" s="23" t="s">
        <v>588</v>
      </c>
      <c r="C374" s="23" t="s">
        <v>587</v>
      </c>
      <c r="D374" s="23" t="s">
        <v>876</v>
      </c>
      <c r="E374" s="26">
        <v>4490</v>
      </c>
      <c r="F374" s="26">
        <f>Tabla1[[#This Row],[COSTO]]*(1+45%)</f>
        <v>6510.5</v>
      </c>
      <c r="G374" s="23">
        <v>8</v>
      </c>
    </row>
    <row r="375" spans="1:7" x14ac:dyDescent="0.25">
      <c r="A375" s="23">
        <v>373</v>
      </c>
      <c r="B375" s="23" t="s">
        <v>590</v>
      </c>
      <c r="C375" s="23" t="s">
        <v>589</v>
      </c>
      <c r="D375" s="23" t="s">
        <v>877</v>
      </c>
      <c r="E375" s="26">
        <v>5850</v>
      </c>
      <c r="F375" s="26">
        <f>Tabla1[[#This Row],[COSTO]]*(1+45%)</f>
        <v>8482.5</v>
      </c>
      <c r="G375" s="23">
        <v>9</v>
      </c>
    </row>
    <row r="376" spans="1:7" x14ac:dyDescent="0.25">
      <c r="A376" s="23">
        <v>374</v>
      </c>
      <c r="B376" s="23" t="s">
        <v>592</v>
      </c>
      <c r="C376" s="23" t="s">
        <v>591</v>
      </c>
      <c r="D376" s="23" t="s">
        <v>878</v>
      </c>
      <c r="E376" s="26">
        <v>7450</v>
      </c>
      <c r="F376" s="26">
        <f>Tabla1[[#This Row],[COSTO]]*(1+45%)</f>
        <v>10802.5</v>
      </c>
      <c r="G376" s="23">
        <v>16</v>
      </c>
    </row>
    <row r="377" spans="1:7" x14ac:dyDescent="0.25">
      <c r="A377" s="23">
        <v>375</v>
      </c>
      <c r="B377" s="23" t="s">
        <v>594</v>
      </c>
      <c r="C377" s="23" t="s">
        <v>593</v>
      </c>
      <c r="D377" s="23" t="s">
        <v>877</v>
      </c>
      <c r="E377" s="26">
        <v>9150</v>
      </c>
      <c r="F377" s="26">
        <f>Tabla1[[#This Row],[COSTO]]*(1+45%)</f>
        <v>13267.5</v>
      </c>
      <c r="G377" s="23">
        <v>10</v>
      </c>
    </row>
    <row r="378" spans="1:7" x14ac:dyDescent="0.25">
      <c r="A378" s="23">
        <v>376</v>
      </c>
      <c r="B378" s="23" t="s">
        <v>596</v>
      </c>
      <c r="C378" s="23" t="s">
        <v>595</v>
      </c>
      <c r="D378" s="23" t="s">
        <v>877</v>
      </c>
      <c r="E378" s="26">
        <v>9850</v>
      </c>
      <c r="F378" s="26">
        <f>Tabla1[[#This Row],[COSTO]]*(1+45%)</f>
        <v>14282.5</v>
      </c>
      <c r="G378" s="23">
        <v>10</v>
      </c>
    </row>
    <row r="379" spans="1:7" ht="15.75" customHeight="1" x14ac:dyDescent="0.25">
      <c r="A379" s="23">
        <v>377</v>
      </c>
      <c r="B379" s="23" t="s">
        <v>598</v>
      </c>
      <c r="C379" s="23" t="s">
        <v>597</v>
      </c>
      <c r="D379" s="23" t="s">
        <v>876</v>
      </c>
      <c r="E379" s="26">
        <v>17900</v>
      </c>
      <c r="F379" s="26">
        <f>Tabla1[[#This Row],[COSTO]]*(1+45%)</f>
        <v>25955</v>
      </c>
      <c r="G379" s="23">
        <v>16</v>
      </c>
    </row>
    <row r="380" spans="1:7" x14ac:dyDescent="0.25">
      <c r="A380" s="23">
        <v>378</v>
      </c>
      <c r="B380" s="23" t="s">
        <v>600</v>
      </c>
      <c r="C380" s="23" t="s">
        <v>599</v>
      </c>
      <c r="D380" s="23" t="s">
        <v>876</v>
      </c>
      <c r="E380" s="26">
        <v>18500</v>
      </c>
      <c r="F380" s="26">
        <f>Tabla1[[#This Row],[COSTO]]*(1+45%)</f>
        <v>26825</v>
      </c>
      <c r="G380" s="23">
        <v>16</v>
      </c>
    </row>
    <row r="381" spans="1:7" x14ac:dyDescent="0.25">
      <c r="A381" s="23">
        <v>379</v>
      </c>
      <c r="B381" s="23" t="s">
        <v>602</v>
      </c>
      <c r="C381" s="23" t="s">
        <v>601</v>
      </c>
      <c r="D381" s="23" t="s">
        <v>876</v>
      </c>
      <c r="E381" s="26">
        <v>18300</v>
      </c>
      <c r="F381" s="26">
        <f>Tabla1[[#This Row],[COSTO]]*(1+45%)</f>
        <v>26535</v>
      </c>
      <c r="G381" s="23">
        <v>10</v>
      </c>
    </row>
    <row r="382" spans="1:7" x14ac:dyDescent="0.25">
      <c r="A382" s="23">
        <v>380</v>
      </c>
      <c r="B382" s="23" t="s">
        <v>604</v>
      </c>
      <c r="C382" s="23" t="s">
        <v>603</v>
      </c>
      <c r="D382" s="23" t="s">
        <v>876</v>
      </c>
      <c r="E382" s="26">
        <v>19900</v>
      </c>
      <c r="F382" s="26">
        <f>Tabla1[[#This Row],[COSTO]]*(1+45%)</f>
        <v>28855</v>
      </c>
      <c r="G382" s="23">
        <v>10</v>
      </c>
    </row>
    <row r="383" spans="1:7" x14ac:dyDescent="0.25">
      <c r="A383" s="23">
        <v>381</v>
      </c>
      <c r="B383" s="23" t="s">
        <v>606</v>
      </c>
      <c r="C383" s="23" t="s">
        <v>605</v>
      </c>
      <c r="D383" s="23" t="s">
        <v>882</v>
      </c>
      <c r="E383" s="26">
        <v>35900</v>
      </c>
      <c r="F383" s="26">
        <f>Tabla1[[#This Row],[COSTO]]*(1+45%)</f>
        <v>52055</v>
      </c>
      <c r="G383" s="23">
        <v>2</v>
      </c>
    </row>
    <row r="384" spans="1:7" x14ac:dyDescent="0.25">
      <c r="A384" s="23">
        <v>382</v>
      </c>
      <c r="B384" s="23" t="s">
        <v>608</v>
      </c>
      <c r="C384" s="23" t="s">
        <v>607</v>
      </c>
      <c r="D384" s="23" t="s">
        <v>882</v>
      </c>
      <c r="E384" s="26">
        <v>3950</v>
      </c>
      <c r="F384" s="26">
        <f>Tabla1[[#This Row],[COSTO]]*(1+45%)</f>
        <v>5727.5</v>
      </c>
      <c r="G384" s="23">
        <v>12</v>
      </c>
    </row>
    <row r="385" spans="1:7" x14ac:dyDescent="0.25">
      <c r="A385" s="23">
        <v>383</v>
      </c>
      <c r="B385" s="23" t="s">
        <v>760</v>
      </c>
      <c r="C385" s="23" t="s">
        <v>759</v>
      </c>
      <c r="D385" s="23" t="s">
        <v>882</v>
      </c>
      <c r="E385" s="26">
        <v>41500</v>
      </c>
      <c r="F385" s="26">
        <f>Tabla1[[#This Row],[COSTO]]*(1+45%)</f>
        <v>60175</v>
      </c>
      <c r="G385" s="23">
        <v>2</v>
      </c>
    </row>
    <row r="386" spans="1:7" x14ac:dyDescent="0.25">
      <c r="A386" s="23">
        <v>384</v>
      </c>
      <c r="B386" s="23" t="s">
        <v>610</v>
      </c>
      <c r="C386" s="23" t="s">
        <v>609</v>
      </c>
      <c r="D386" s="23" t="s">
        <v>882</v>
      </c>
      <c r="E386" s="26">
        <v>41500</v>
      </c>
      <c r="F386" s="26">
        <f>Tabla1[[#This Row],[COSTO]]*(1+45%)</f>
        <v>60175</v>
      </c>
      <c r="G386" s="23">
        <v>0</v>
      </c>
    </row>
    <row r="387" spans="1:7" x14ac:dyDescent="0.25">
      <c r="A387" s="23">
        <v>385</v>
      </c>
      <c r="B387" s="23" t="s">
        <v>612</v>
      </c>
      <c r="C387" s="23" t="s">
        <v>611</v>
      </c>
      <c r="D387" s="23" t="s">
        <v>882</v>
      </c>
      <c r="E387" s="26">
        <v>15200</v>
      </c>
      <c r="F387" s="26">
        <f>Tabla1[[#This Row],[COSTO]]*(1+45%)</f>
        <v>22040</v>
      </c>
      <c r="G387" s="23">
        <v>0</v>
      </c>
    </row>
    <row r="388" spans="1:7" x14ac:dyDescent="0.25">
      <c r="A388" s="23">
        <v>386</v>
      </c>
      <c r="B388" s="23" t="s">
        <v>612</v>
      </c>
      <c r="C388" s="23" t="s">
        <v>749</v>
      </c>
      <c r="D388" s="23" t="s">
        <v>882</v>
      </c>
      <c r="E388" s="26">
        <v>15200</v>
      </c>
      <c r="F388" s="26">
        <f>Tabla1[[#This Row],[COSTO]]*(1+45%)</f>
        <v>22040</v>
      </c>
      <c r="G388" s="23">
        <v>0</v>
      </c>
    </row>
    <row r="389" spans="1:7" x14ac:dyDescent="0.25">
      <c r="A389" s="23">
        <v>387</v>
      </c>
      <c r="B389" s="23" t="s">
        <v>614</v>
      </c>
      <c r="C389" s="23" t="s">
        <v>613</v>
      </c>
      <c r="D389" s="23" t="s">
        <v>882</v>
      </c>
      <c r="E389" s="26">
        <v>22400</v>
      </c>
      <c r="F389" s="26">
        <f>Tabla1[[#This Row],[COSTO]]*(1+45%)</f>
        <v>32480</v>
      </c>
      <c r="G389" s="23">
        <v>4</v>
      </c>
    </row>
    <row r="390" spans="1:7" x14ac:dyDescent="0.25">
      <c r="A390" s="23">
        <v>388</v>
      </c>
      <c r="B390" s="23" t="s">
        <v>616</v>
      </c>
      <c r="C390" s="23" t="s">
        <v>615</v>
      </c>
      <c r="D390" s="23" t="s">
        <v>898</v>
      </c>
      <c r="E390" s="26">
        <v>4590</v>
      </c>
      <c r="F390" s="26">
        <f>Tabla1[[#This Row],[COSTO]]*(1+45%)</f>
        <v>6655.5</v>
      </c>
      <c r="G390" s="23">
        <v>10</v>
      </c>
    </row>
    <row r="391" spans="1:7" x14ac:dyDescent="0.25">
      <c r="A391" s="23">
        <v>389</v>
      </c>
      <c r="B391" s="23" t="s">
        <v>618</v>
      </c>
      <c r="C391" s="23" t="s">
        <v>617</v>
      </c>
      <c r="D391" s="23" t="s">
        <v>898</v>
      </c>
      <c r="E391" s="26">
        <v>5650</v>
      </c>
      <c r="F391" s="26">
        <f>Tabla1[[#This Row],[COSTO]]*(1+45%)</f>
        <v>8192.5</v>
      </c>
      <c r="G391" s="23">
        <v>5</v>
      </c>
    </row>
    <row r="392" spans="1:7" x14ac:dyDescent="0.25">
      <c r="A392" s="23">
        <v>390</v>
      </c>
      <c r="B392" s="23" t="s">
        <v>620</v>
      </c>
      <c r="C392" s="23" t="s">
        <v>619</v>
      </c>
      <c r="D392" s="23" t="s">
        <v>898</v>
      </c>
      <c r="E392" s="26">
        <v>3450</v>
      </c>
      <c r="F392" s="26">
        <f>Tabla1[[#This Row],[COSTO]]*(1+45%)</f>
        <v>5002.5</v>
      </c>
      <c r="G392" s="23">
        <v>9</v>
      </c>
    </row>
    <row r="393" spans="1:7" x14ac:dyDescent="0.25">
      <c r="A393" s="23">
        <v>391</v>
      </c>
      <c r="B393" s="23" t="s">
        <v>622</v>
      </c>
      <c r="C393" s="23" t="s">
        <v>621</v>
      </c>
      <c r="D393" s="23" t="s">
        <v>898</v>
      </c>
      <c r="E393" s="26">
        <v>3650</v>
      </c>
      <c r="F393" s="26">
        <f>Tabla1[[#This Row],[COSTO]]*(1+45%)</f>
        <v>5292.5</v>
      </c>
      <c r="G393" s="23">
        <v>2</v>
      </c>
    </row>
    <row r="394" spans="1:7" x14ac:dyDescent="0.25">
      <c r="A394" s="23">
        <v>392</v>
      </c>
      <c r="B394" s="23" t="s">
        <v>624</v>
      </c>
      <c r="C394" s="23" t="s">
        <v>623</v>
      </c>
      <c r="D394" s="23" t="s">
        <v>898</v>
      </c>
      <c r="E394" s="26">
        <v>24900</v>
      </c>
      <c r="F394" s="26">
        <f>Tabla1[[#This Row],[COSTO]]*(1+45%)</f>
        <v>36105</v>
      </c>
      <c r="G394" s="23">
        <v>7</v>
      </c>
    </row>
    <row r="395" spans="1:7" x14ac:dyDescent="0.25">
      <c r="A395" s="23">
        <v>393</v>
      </c>
      <c r="B395" s="23" t="s">
        <v>626</v>
      </c>
      <c r="C395" s="23" t="s">
        <v>625</v>
      </c>
      <c r="D395" s="23" t="s">
        <v>898</v>
      </c>
      <c r="E395" s="26">
        <v>6750</v>
      </c>
      <c r="F395" s="26">
        <f>Tabla1[[#This Row],[COSTO]]*(1+45%)</f>
        <v>9787.5</v>
      </c>
      <c r="G395" s="23">
        <v>2</v>
      </c>
    </row>
    <row r="396" spans="1:7" x14ac:dyDescent="0.25">
      <c r="A396" s="23">
        <v>394</v>
      </c>
      <c r="B396" s="23" t="s">
        <v>628</v>
      </c>
      <c r="C396" s="23" t="s">
        <v>627</v>
      </c>
      <c r="D396" s="23" t="s">
        <v>898</v>
      </c>
      <c r="E396" s="26">
        <v>10500</v>
      </c>
      <c r="F396" s="26">
        <f>Tabla1[[#This Row],[COSTO]]*(1+45%)</f>
        <v>15225</v>
      </c>
      <c r="G396" s="23">
        <v>0</v>
      </c>
    </row>
    <row r="397" spans="1:7" x14ac:dyDescent="0.25">
      <c r="A397" s="23">
        <v>395</v>
      </c>
      <c r="B397" s="23" t="s">
        <v>807</v>
      </c>
      <c r="C397" s="23" t="s">
        <v>629</v>
      </c>
      <c r="D397" s="23" t="s">
        <v>899</v>
      </c>
      <c r="E397" s="26">
        <v>6350</v>
      </c>
      <c r="F397" s="26">
        <f>Tabla1[[#This Row],[COSTO]]*(1+45%)</f>
        <v>9207.5</v>
      </c>
      <c r="G397" s="23">
        <v>7</v>
      </c>
    </row>
    <row r="398" spans="1:7" x14ac:dyDescent="0.25">
      <c r="A398" s="23">
        <v>396</v>
      </c>
      <c r="B398" s="23" t="s">
        <v>811</v>
      </c>
      <c r="C398" s="23" t="s">
        <v>633</v>
      </c>
      <c r="D398" s="23" t="s">
        <v>899</v>
      </c>
      <c r="E398" s="26">
        <v>6750</v>
      </c>
      <c r="F398" s="26">
        <f>Tabla1[[#This Row],[COSTO]]*(1+45%)</f>
        <v>9787.5</v>
      </c>
      <c r="G398" s="23">
        <v>2</v>
      </c>
    </row>
    <row r="399" spans="1:7" x14ac:dyDescent="0.25">
      <c r="A399" s="23">
        <v>397</v>
      </c>
      <c r="B399" s="23" t="s">
        <v>810</v>
      </c>
      <c r="C399" s="23" t="s">
        <v>632</v>
      </c>
      <c r="D399" s="23" t="s">
        <v>899</v>
      </c>
      <c r="E399" s="26">
        <v>6750</v>
      </c>
      <c r="F399" s="26">
        <f>Tabla1[[#This Row],[COSTO]]*(1+45%)</f>
        <v>9787.5</v>
      </c>
      <c r="G399" s="23">
        <v>3</v>
      </c>
    </row>
    <row r="400" spans="1:7" x14ac:dyDescent="0.25">
      <c r="A400" s="23">
        <v>398</v>
      </c>
      <c r="B400" s="23" t="s">
        <v>808</v>
      </c>
      <c r="C400" s="23" t="s">
        <v>630</v>
      </c>
      <c r="D400" s="23" t="s">
        <v>899</v>
      </c>
      <c r="E400" s="26">
        <v>6990</v>
      </c>
      <c r="F400" s="26">
        <f>Tabla1[[#This Row],[COSTO]]*(1+45%)</f>
        <v>10135.5</v>
      </c>
      <c r="G400" s="23">
        <v>13</v>
      </c>
    </row>
    <row r="401" spans="1:136" x14ac:dyDescent="0.25">
      <c r="A401" s="23">
        <v>399</v>
      </c>
      <c r="B401" s="23" t="s">
        <v>809</v>
      </c>
      <c r="C401" s="23" t="s">
        <v>631</v>
      </c>
      <c r="D401" s="23" t="s">
        <v>899</v>
      </c>
      <c r="E401" s="26">
        <v>7750</v>
      </c>
      <c r="F401" s="26">
        <f>Tabla1[[#This Row],[COSTO]]*(1+45%)</f>
        <v>11237.5</v>
      </c>
      <c r="G401" s="23">
        <v>10</v>
      </c>
    </row>
    <row r="402" spans="1:136" x14ac:dyDescent="0.25">
      <c r="A402" s="23">
        <v>400</v>
      </c>
      <c r="B402" s="23" t="s">
        <v>635</v>
      </c>
      <c r="C402" s="23" t="s">
        <v>634</v>
      </c>
      <c r="D402" s="23" t="s">
        <v>883</v>
      </c>
      <c r="E402" s="26">
        <v>25900</v>
      </c>
      <c r="F402" s="26">
        <f>Tabla1[[#This Row],[COSTO]]*(1+45%)</f>
        <v>37555</v>
      </c>
      <c r="G402" s="23">
        <v>1</v>
      </c>
    </row>
    <row r="403" spans="1:136" s="3" customFormat="1" x14ac:dyDescent="0.25">
      <c r="A403" s="23">
        <v>401</v>
      </c>
      <c r="B403" s="23" t="s">
        <v>637</v>
      </c>
      <c r="C403" s="23" t="s">
        <v>636</v>
      </c>
      <c r="D403" s="23" t="s">
        <v>883</v>
      </c>
      <c r="E403" s="26">
        <v>15300</v>
      </c>
      <c r="F403" s="26">
        <f>Tabla1[[#This Row],[COSTO]]*(1+45%)</f>
        <v>22185</v>
      </c>
      <c r="G403" s="23">
        <v>2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</row>
    <row r="404" spans="1:136" x14ac:dyDescent="0.25">
      <c r="A404" s="23">
        <v>402</v>
      </c>
      <c r="B404" s="23" t="s">
        <v>19</v>
      </c>
      <c r="C404" s="23" t="s">
        <v>638</v>
      </c>
      <c r="D404" s="23" t="s">
        <v>883</v>
      </c>
      <c r="E404" s="26">
        <v>9450</v>
      </c>
      <c r="F404" s="26">
        <f>Tabla1[[#This Row],[COSTO]]*(1+45%)</f>
        <v>13702.5</v>
      </c>
      <c r="G404" s="23">
        <v>0</v>
      </c>
    </row>
    <row r="405" spans="1:136" x14ac:dyDescent="0.25">
      <c r="A405" s="23">
        <v>403</v>
      </c>
      <c r="B405" s="23" t="s">
        <v>19</v>
      </c>
      <c r="C405" s="23" t="s">
        <v>639</v>
      </c>
      <c r="D405" s="23" t="s">
        <v>883</v>
      </c>
      <c r="E405" s="26">
        <v>9450</v>
      </c>
      <c r="F405" s="26">
        <f>Tabla1[[#This Row],[COSTO]]*(1+45%)</f>
        <v>13702.5</v>
      </c>
      <c r="G405" s="23">
        <v>2</v>
      </c>
    </row>
    <row r="406" spans="1:136" x14ac:dyDescent="0.25">
      <c r="A406" s="23">
        <v>404</v>
      </c>
      <c r="B406" s="23" t="s">
        <v>19</v>
      </c>
      <c r="C406" s="23" t="s">
        <v>786</v>
      </c>
      <c r="D406" s="23" t="s">
        <v>883</v>
      </c>
      <c r="E406" s="26">
        <v>9450</v>
      </c>
      <c r="F406" s="26">
        <f>Tabla1[[#This Row],[COSTO]]*(1+45%)</f>
        <v>13702.5</v>
      </c>
      <c r="G406" s="23">
        <v>2</v>
      </c>
    </row>
    <row r="407" spans="1:136" x14ac:dyDescent="0.25">
      <c r="A407" s="23">
        <v>405</v>
      </c>
      <c r="B407" s="23" t="s">
        <v>19</v>
      </c>
      <c r="C407" s="23" t="s">
        <v>787</v>
      </c>
      <c r="D407" s="23" t="s">
        <v>883</v>
      </c>
      <c r="E407" s="26">
        <v>9450</v>
      </c>
      <c r="F407" s="26">
        <f>Tabla1[[#This Row],[COSTO]]*(1+45%)</f>
        <v>13702.5</v>
      </c>
      <c r="G407" s="23">
        <v>2</v>
      </c>
    </row>
    <row r="408" spans="1:136" x14ac:dyDescent="0.25">
      <c r="A408" s="23">
        <v>406</v>
      </c>
      <c r="B408" s="23" t="s">
        <v>768</v>
      </c>
      <c r="C408" s="23" t="s">
        <v>767</v>
      </c>
      <c r="D408" s="23" t="s">
        <v>883</v>
      </c>
      <c r="E408" s="26">
        <v>8900</v>
      </c>
      <c r="F408" s="26">
        <f>Tabla1[[#This Row],[COSTO]]*(1+45%)</f>
        <v>12905</v>
      </c>
      <c r="G408" s="23">
        <v>2</v>
      </c>
    </row>
    <row r="409" spans="1:136" x14ac:dyDescent="0.25">
      <c r="A409" s="23">
        <v>407</v>
      </c>
      <c r="B409" s="23" t="s">
        <v>768</v>
      </c>
      <c r="C409" s="23" t="s">
        <v>769</v>
      </c>
      <c r="D409" s="23" t="s">
        <v>883</v>
      </c>
      <c r="E409" s="26">
        <v>8900</v>
      </c>
      <c r="F409" s="26">
        <f>Tabla1[[#This Row],[COSTO]]*(1+45%)</f>
        <v>12905</v>
      </c>
      <c r="G409" s="23">
        <v>1</v>
      </c>
    </row>
    <row r="410" spans="1:136" x14ac:dyDescent="0.25">
      <c r="A410" s="23">
        <v>408</v>
      </c>
      <c r="B410" s="23" t="s">
        <v>641</v>
      </c>
      <c r="C410" s="23" t="s">
        <v>640</v>
      </c>
      <c r="D410" s="23" t="s">
        <v>883</v>
      </c>
      <c r="E410" s="26">
        <v>10400</v>
      </c>
      <c r="F410" s="26">
        <f>Tabla1[[#This Row],[COSTO]]*(1+45%)</f>
        <v>15080</v>
      </c>
      <c r="G410" s="23">
        <v>7</v>
      </c>
    </row>
    <row r="411" spans="1:136" x14ac:dyDescent="0.25">
      <c r="A411" s="23">
        <v>409</v>
      </c>
      <c r="B411" s="23" t="s">
        <v>643</v>
      </c>
      <c r="C411" s="23" t="s">
        <v>642</v>
      </c>
      <c r="D411" s="23" t="s">
        <v>883</v>
      </c>
      <c r="E411" s="26">
        <v>9400</v>
      </c>
      <c r="F411" s="26">
        <f>Tabla1[[#This Row],[COSTO]]*(1+45%)</f>
        <v>13630</v>
      </c>
      <c r="G411" s="23">
        <v>1</v>
      </c>
    </row>
    <row r="412" spans="1:136" x14ac:dyDescent="0.25">
      <c r="A412" s="23">
        <v>410</v>
      </c>
      <c r="B412" s="23" t="s">
        <v>643</v>
      </c>
      <c r="C412" s="23" t="s">
        <v>644</v>
      </c>
      <c r="D412" s="23" t="s">
        <v>883</v>
      </c>
      <c r="E412" s="26">
        <v>9400</v>
      </c>
      <c r="F412" s="26">
        <f>Tabla1[[#This Row],[COSTO]]*(1+45%)</f>
        <v>13630</v>
      </c>
      <c r="G412" s="23">
        <v>4</v>
      </c>
    </row>
    <row r="413" spans="1:136" x14ac:dyDescent="0.25">
      <c r="A413" s="23">
        <v>411</v>
      </c>
      <c r="B413" s="23" t="s">
        <v>643</v>
      </c>
      <c r="C413" s="23" t="s">
        <v>645</v>
      </c>
      <c r="D413" s="23" t="s">
        <v>883</v>
      </c>
      <c r="E413" s="26">
        <v>9400</v>
      </c>
      <c r="F413" s="26">
        <f>Tabla1[[#This Row],[COSTO]]*(1+45%)</f>
        <v>13630</v>
      </c>
      <c r="G413" s="23">
        <v>1</v>
      </c>
    </row>
    <row r="414" spans="1:136" x14ac:dyDescent="0.25">
      <c r="A414" s="23">
        <v>412</v>
      </c>
      <c r="B414" s="23" t="s">
        <v>647</v>
      </c>
      <c r="C414" s="23" t="s">
        <v>646</v>
      </c>
      <c r="D414" s="23" t="s">
        <v>883</v>
      </c>
      <c r="E414" s="26">
        <v>7900</v>
      </c>
      <c r="F414" s="26">
        <f>Tabla1[[#This Row],[COSTO]]*(1+45%)</f>
        <v>11455</v>
      </c>
      <c r="G414" s="23">
        <v>4</v>
      </c>
    </row>
    <row r="415" spans="1:136" x14ac:dyDescent="0.25">
      <c r="A415" s="23">
        <v>413</v>
      </c>
      <c r="B415" s="23" t="s">
        <v>649</v>
      </c>
      <c r="C415" s="23" t="s">
        <v>648</v>
      </c>
      <c r="D415" s="23" t="s">
        <v>883</v>
      </c>
      <c r="E415" s="26">
        <v>14300</v>
      </c>
      <c r="F415" s="26">
        <f>Tabla1[[#This Row],[COSTO]]*(1+45%)</f>
        <v>20735</v>
      </c>
      <c r="G415" s="23">
        <v>2</v>
      </c>
    </row>
    <row r="416" spans="1:136" x14ac:dyDescent="0.25">
      <c r="A416" s="23">
        <v>414</v>
      </c>
      <c r="B416" s="23" t="s">
        <v>649</v>
      </c>
      <c r="C416" s="23" t="s">
        <v>650</v>
      </c>
      <c r="D416" s="23" t="s">
        <v>883</v>
      </c>
      <c r="E416" s="26">
        <v>14300</v>
      </c>
      <c r="F416" s="26">
        <f>Tabla1[[#This Row],[COSTO]]*(1+45%)</f>
        <v>20735</v>
      </c>
      <c r="G416" s="23">
        <v>2</v>
      </c>
    </row>
    <row r="417" spans="1:7" x14ac:dyDescent="0.25">
      <c r="A417" s="23">
        <v>415</v>
      </c>
      <c r="B417" s="23" t="s">
        <v>652</v>
      </c>
      <c r="C417" s="23" t="s">
        <v>651</v>
      </c>
      <c r="D417" s="23" t="s">
        <v>883</v>
      </c>
      <c r="E417" s="26">
        <v>8900</v>
      </c>
      <c r="F417" s="26">
        <f>Tabla1[[#This Row],[COSTO]]*(1+45%)</f>
        <v>12905</v>
      </c>
      <c r="G417" s="23">
        <v>1</v>
      </c>
    </row>
    <row r="418" spans="1:7" x14ac:dyDescent="0.25">
      <c r="A418" s="23">
        <v>416</v>
      </c>
      <c r="B418" s="23" t="s">
        <v>654</v>
      </c>
      <c r="C418" s="23" t="s">
        <v>653</v>
      </c>
      <c r="D418" s="23" t="s">
        <v>883</v>
      </c>
      <c r="E418" s="26">
        <v>7590</v>
      </c>
      <c r="F418" s="26">
        <f>Tabla1[[#This Row],[COSTO]]*(1+45%)</f>
        <v>11005.5</v>
      </c>
      <c r="G418" s="23">
        <v>2</v>
      </c>
    </row>
    <row r="419" spans="1:7" x14ac:dyDescent="0.25">
      <c r="A419" s="23">
        <v>417</v>
      </c>
      <c r="B419" s="23" t="s">
        <v>654</v>
      </c>
      <c r="C419" s="23" t="s">
        <v>655</v>
      </c>
      <c r="D419" s="23" t="s">
        <v>883</v>
      </c>
      <c r="E419" s="26">
        <v>7590</v>
      </c>
      <c r="F419" s="26">
        <f>Tabla1[[#This Row],[COSTO]]*(1+45%)</f>
        <v>11005.5</v>
      </c>
      <c r="G419" s="23">
        <v>2</v>
      </c>
    </row>
    <row r="420" spans="1:7" x14ac:dyDescent="0.25">
      <c r="A420" s="23">
        <v>418</v>
      </c>
      <c r="B420" s="23" t="s">
        <v>783</v>
      </c>
      <c r="C420" s="23" t="s">
        <v>782</v>
      </c>
      <c r="D420" s="23" t="s">
        <v>883</v>
      </c>
      <c r="E420" s="26">
        <v>12500</v>
      </c>
      <c r="F420" s="26">
        <f>Tabla1[[#This Row],[COSTO]]*(1+45%)</f>
        <v>18125</v>
      </c>
      <c r="G420" s="23">
        <v>0</v>
      </c>
    </row>
    <row r="421" spans="1:7" x14ac:dyDescent="0.25">
      <c r="A421" s="23">
        <v>419</v>
      </c>
      <c r="B421" s="23" t="s">
        <v>783</v>
      </c>
      <c r="C421" s="23" t="s">
        <v>784</v>
      </c>
      <c r="D421" s="23" t="s">
        <v>883</v>
      </c>
      <c r="E421" s="26">
        <v>12500</v>
      </c>
      <c r="F421" s="26">
        <f>Tabla1[[#This Row],[COSTO]]*(1+45%)</f>
        <v>18125</v>
      </c>
      <c r="G421" s="23">
        <v>2</v>
      </c>
    </row>
    <row r="422" spans="1:7" x14ac:dyDescent="0.25">
      <c r="A422" s="23">
        <v>420</v>
      </c>
      <c r="B422" s="23" t="s">
        <v>657</v>
      </c>
      <c r="C422" s="23" t="s">
        <v>656</v>
      </c>
      <c r="D422" s="23" t="s">
        <v>883</v>
      </c>
      <c r="E422" s="26">
        <v>15500</v>
      </c>
      <c r="F422" s="26">
        <f>Tabla1[[#This Row],[COSTO]]*(1+45%)</f>
        <v>22475</v>
      </c>
      <c r="G422" s="23">
        <v>1</v>
      </c>
    </row>
    <row r="423" spans="1:7" x14ac:dyDescent="0.25">
      <c r="A423" s="23">
        <v>421</v>
      </c>
      <c r="B423" s="23" t="s">
        <v>657</v>
      </c>
      <c r="C423" s="23" t="s">
        <v>658</v>
      </c>
      <c r="D423" s="23" t="s">
        <v>883</v>
      </c>
      <c r="E423" s="26">
        <v>15500</v>
      </c>
      <c r="F423" s="26">
        <f>Tabla1[[#This Row],[COSTO]]*(1+45%)</f>
        <v>22475</v>
      </c>
      <c r="G423" s="23">
        <v>0</v>
      </c>
    </row>
    <row r="424" spans="1:7" x14ac:dyDescent="0.25">
      <c r="A424" s="23">
        <v>422</v>
      </c>
      <c r="B424" s="23" t="s">
        <v>657</v>
      </c>
      <c r="C424" s="23" t="s">
        <v>659</v>
      </c>
      <c r="D424" s="23" t="s">
        <v>883</v>
      </c>
      <c r="E424" s="26">
        <v>15500</v>
      </c>
      <c r="F424" s="26">
        <f>Tabla1[[#This Row],[COSTO]]*(1+45%)</f>
        <v>22475</v>
      </c>
      <c r="G424" s="23">
        <v>0</v>
      </c>
    </row>
    <row r="425" spans="1:7" x14ac:dyDescent="0.25">
      <c r="A425" s="23">
        <v>423</v>
      </c>
      <c r="B425" s="23" t="s">
        <v>657</v>
      </c>
      <c r="C425" s="23" t="s">
        <v>660</v>
      </c>
      <c r="D425" s="23" t="s">
        <v>883</v>
      </c>
      <c r="E425" s="26">
        <v>15500</v>
      </c>
      <c r="F425" s="26">
        <f>Tabla1[[#This Row],[COSTO]]*(1+45%)</f>
        <v>22475</v>
      </c>
      <c r="G425" s="23">
        <v>0</v>
      </c>
    </row>
    <row r="426" spans="1:7" x14ac:dyDescent="0.25">
      <c r="A426" s="23">
        <v>424</v>
      </c>
      <c r="B426" s="23" t="s">
        <v>657</v>
      </c>
      <c r="C426" s="23" t="s">
        <v>661</v>
      </c>
      <c r="D426" s="23" t="s">
        <v>883</v>
      </c>
      <c r="E426" s="26">
        <v>15500</v>
      </c>
      <c r="F426" s="26">
        <f>Tabla1[[#This Row],[COSTO]]*(1+45%)</f>
        <v>22475</v>
      </c>
      <c r="G426" s="23">
        <v>0</v>
      </c>
    </row>
    <row r="427" spans="1:7" ht="12" customHeight="1" x14ac:dyDescent="0.25">
      <c r="A427" s="23">
        <v>425</v>
      </c>
      <c r="B427" s="23" t="s">
        <v>657</v>
      </c>
      <c r="C427" s="23" t="s">
        <v>780</v>
      </c>
      <c r="D427" s="23" t="s">
        <v>883</v>
      </c>
      <c r="E427" s="26">
        <v>15500</v>
      </c>
      <c r="F427" s="26">
        <f>Tabla1[[#This Row],[COSTO]]*(1+45%)</f>
        <v>22475</v>
      </c>
      <c r="G427" s="23">
        <v>0</v>
      </c>
    </row>
    <row r="428" spans="1:7" ht="13.5" customHeight="1" x14ac:dyDescent="0.25">
      <c r="A428" s="23">
        <v>426</v>
      </c>
      <c r="B428" s="23" t="s">
        <v>657</v>
      </c>
      <c r="C428" s="23" t="s">
        <v>781</v>
      </c>
      <c r="D428" s="23" t="s">
        <v>883</v>
      </c>
      <c r="E428" s="26">
        <v>15500</v>
      </c>
      <c r="F428" s="26">
        <f>Tabla1[[#This Row],[COSTO]]*(1+45%)</f>
        <v>22475</v>
      </c>
      <c r="G428" s="23">
        <v>0</v>
      </c>
    </row>
    <row r="429" spans="1:7" x14ac:dyDescent="0.25">
      <c r="A429" s="23">
        <v>427</v>
      </c>
      <c r="B429" s="23" t="s">
        <v>771</v>
      </c>
      <c r="C429" s="23" t="s">
        <v>770</v>
      </c>
      <c r="D429" s="23" t="s">
        <v>883</v>
      </c>
      <c r="E429" s="26">
        <v>12900</v>
      </c>
      <c r="F429" s="26">
        <f>Tabla1[[#This Row],[COSTO]]*(1+45%)</f>
        <v>18705</v>
      </c>
      <c r="G429" s="23">
        <v>1</v>
      </c>
    </row>
    <row r="430" spans="1:7" ht="13.5" customHeight="1" x14ac:dyDescent="0.25">
      <c r="A430" s="23">
        <v>428</v>
      </c>
      <c r="B430" s="23" t="s">
        <v>771</v>
      </c>
      <c r="C430" s="23" t="s">
        <v>772</v>
      </c>
      <c r="D430" s="23" t="s">
        <v>883</v>
      </c>
      <c r="E430" s="26">
        <v>12900</v>
      </c>
      <c r="F430" s="26">
        <f>Tabla1[[#This Row],[COSTO]]*(1+45%)</f>
        <v>18705</v>
      </c>
      <c r="G430" s="23">
        <v>1</v>
      </c>
    </row>
    <row r="431" spans="1:7" x14ac:dyDescent="0.25">
      <c r="A431" s="23">
        <v>429</v>
      </c>
      <c r="B431" s="23" t="s">
        <v>771</v>
      </c>
      <c r="C431" s="23" t="s">
        <v>773</v>
      </c>
      <c r="D431" s="23" t="s">
        <v>883</v>
      </c>
      <c r="E431" s="26">
        <v>12900</v>
      </c>
      <c r="F431" s="26">
        <f>Tabla1[[#This Row],[COSTO]]*(1+45%)</f>
        <v>18705</v>
      </c>
      <c r="G431" s="23">
        <v>1</v>
      </c>
    </row>
    <row r="432" spans="1:7" x14ac:dyDescent="0.25">
      <c r="A432" s="23">
        <v>430</v>
      </c>
      <c r="B432" s="23" t="s">
        <v>771</v>
      </c>
      <c r="C432" s="23" t="s">
        <v>774</v>
      </c>
      <c r="D432" s="23" t="s">
        <v>883</v>
      </c>
      <c r="E432" s="26">
        <v>12900</v>
      </c>
      <c r="F432" s="26">
        <f>Tabla1[[#This Row],[COSTO]]*(1+45%)</f>
        <v>18705</v>
      </c>
      <c r="G432" s="23">
        <v>1</v>
      </c>
    </row>
    <row r="433" spans="1:8" x14ac:dyDescent="0.25">
      <c r="A433" s="23">
        <v>431</v>
      </c>
      <c r="B433" s="23" t="s">
        <v>663</v>
      </c>
      <c r="C433" s="23" t="s">
        <v>662</v>
      </c>
      <c r="D433" s="23" t="s">
        <v>883</v>
      </c>
      <c r="E433" s="26">
        <v>11300</v>
      </c>
      <c r="F433" s="26">
        <f>Tabla1[[#This Row],[COSTO]]*(1+45%)</f>
        <v>16385</v>
      </c>
      <c r="G433" s="23">
        <v>0</v>
      </c>
    </row>
    <row r="434" spans="1:8" x14ac:dyDescent="0.25">
      <c r="A434" s="23">
        <v>432</v>
      </c>
      <c r="B434" s="23" t="s">
        <v>665</v>
      </c>
      <c r="C434" s="23" t="s">
        <v>664</v>
      </c>
      <c r="D434" s="23" t="s">
        <v>883</v>
      </c>
      <c r="E434" s="26">
        <v>7250</v>
      </c>
      <c r="F434" s="26">
        <f>Tabla1[[#This Row],[COSTO]]*(1+45%)</f>
        <v>10512.5</v>
      </c>
      <c r="G434" s="23">
        <v>9</v>
      </c>
    </row>
    <row r="435" spans="1:8" x14ac:dyDescent="0.25">
      <c r="A435" s="23">
        <v>433</v>
      </c>
      <c r="B435" s="23" t="s">
        <v>667</v>
      </c>
      <c r="C435" s="23" t="s">
        <v>666</v>
      </c>
      <c r="D435" s="23" t="s">
        <v>900</v>
      </c>
      <c r="E435" s="26">
        <v>7550</v>
      </c>
      <c r="F435" s="26">
        <f>Tabla1[[#This Row],[COSTO]]*(1+45%)</f>
        <v>10947.5</v>
      </c>
      <c r="G435" s="23">
        <v>0</v>
      </c>
    </row>
    <row r="436" spans="1:8" x14ac:dyDescent="0.25">
      <c r="A436" s="23">
        <v>434</v>
      </c>
      <c r="B436" s="23" t="s">
        <v>667</v>
      </c>
      <c r="C436" s="23" t="s">
        <v>668</v>
      </c>
      <c r="D436" s="23" t="s">
        <v>900</v>
      </c>
      <c r="E436" s="26">
        <v>7550</v>
      </c>
      <c r="F436" s="26">
        <f>Tabla1[[#This Row],[COSTO]]*(1+45%)</f>
        <v>10947.5</v>
      </c>
      <c r="G436" s="23">
        <v>0</v>
      </c>
    </row>
    <row r="437" spans="1:8" x14ac:dyDescent="0.25">
      <c r="A437" s="23">
        <v>435</v>
      </c>
      <c r="B437" s="23" t="s">
        <v>667</v>
      </c>
      <c r="C437" s="23" t="s">
        <v>669</v>
      </c>
      <c r="D437" s="23" t="s">
        <v>900</v>
      </c>
      <c r="E437" s="26">
        <v>7550</v>
      </c>
      <c r="F437" s="26">
        <f>Tabla1[[#This Row],[COSTO]]*(1+45%)</f>
        <v>10947.5</v>
      </c>
      <c r="G437" s="23">
        <v>0</v>
      </c>
    </row>
    <row r="438" spans="1:8" x14ac:dyDescent="0.25">
      <c r="A438" s="23">
        <v>436</v>
      </c>
      <c r="B438" s="23" t="s">
        <v>667</v>
      </c>
      <c r="C438" s="23" t="s">
        <v>670</v>
      </c>
      <c r="D438" s="23" t="s">
        <v>900</v>
      </c>
      <c r="E438" s="26">
        <v>7550</v>
      </c>
      <c r="F438" s="26">
        <f>Tabla1[[#This Row],[COSTO]]*(1+45%)</f>
        <v>10947.5</v>
      </c>
      <c r="G438" s="23">
        <v>0</v>
      </c>
    </row>
    <row r="439" spans="1:8" x14ac:dyDescent="0.25">
      <c r="A439" s="23">
        <v>437</v>
      </c>
      <c r="B439" s="23" t="s">
        <v>667</v>
      </c>
      <c r="C439" s="23" t="s">
        <v>671</v>
      </c>
      <c r="D439" s="23" t="s">
        <v>900</v>
      </c>
      <c r="E439" s="26">
        <v>7550</v>
      </c>
      <c r="F439" s="26">
        <f>Tabla1[[#This Row],[COSTO]]*(1+45%)</f>
        <v>10947.5</v>
      </c>
      <c r="G439" s="23">
        <v>0</v>
      </c>
    </row>
    <row r="440" spans="1:8" x14ac:dyDescent="0.25">
      <c r="A440" s="23">
        <v>438</v>
      </c>
      <c r="B440" s="23" t="s">
        <v>667</v>
      </c>
      <c r="C440" s="23" t="s">
        <v>672</v>
      </c>
      <c r="D440" s="23" t="s">
        <v>900</v>
      </c>
      <c r="E440" s="26">
        <v>7550</v>
      </c>
      <c r="F440" s="26">
        <f>Tabla1[[#This Row],[COSTO]]*(1+45%)</f>
        <v>10947.5</v>
      </c>
      <c r="G440" s="23">
        <v>0</v>
      </c>
    </row>
    <row r="441" spans="1:8" x14ac:dyDescent="0.25">
      <c r="A441" s="23">
        <v>439</v>
      </c>
      <c r="B441" s="23" t="s">
        <v>667</v>
      </c>
      <c r="C441" s="23" t="s">
        <v>673</v>
      </c>
      <c r="D441" s="23" t="s">
        <v>900</v>
      </c>
      <c r="E441" s="26">
        <v>7550</v>
      </c>
      <c r="F441" s="26">
        <f>Tabla1[[#This Row],[COSTO]]*(1+45%)</f>
        <v>10947.5</v>
      </c>
      <c r="G441" s="23">
        <v>0</v>
      </c>
    </row>
    <row r="442" spans="1:8" x14ac:dyDescent="0.25">
      <c r="A442" s="23">
        <v>440</v>
      </c>
      <c r="B442" s="23" t="s">
        <v>675</v>
      </c>
      <c r="C442" s="23" t="s">
        <v>674</v>
      </c>
      <c r="D442" s="23" t="s">
        <v>901</v>
      </c>
      <c r="E442" s="26">
        <v>5790</v>
      </c>
      <c r="F442" s="26">
        <f>Tabla1[[#This Row],[COSTO]]*(1+45%)</f>
        <v>8395.5</v>
      </c>
      <c r="G442" s="23">
        <v>2</v>
      </c>
    </row>
    <row r="443" spans="1:8" x14ac:dyDescent="0.25">
      <c r="A443" s="23">
        <v>441</v>
      </c>
      <c r="B443" s="23" t="s">
        <v>675</v>
      </c>
      <c r="C443" s="23" t="s">
        <v>676</v>
      </c>
      <c r="D443" s="23" t="s">
        <v>901</v>
      </c>
      <c r="E443" s="26">
        <v>5790</v>
      </c>
      <c r="F443" s="26">
        <f>Tabla1[[#This Row],[COSTO]]*(1+45%)</f>
        <v>8395.5</v>
      </c>
      <c r="G443" s="23">
        <v>2</v>
      </c>
    </row>
    <row r="444" spans="1:8" x14ac:dyDescent="0.25">
      <c r="A444" s="23">
        <v>442</v>
      </c>
      <c r="B444" s="23" t="s">
        <v>675</v>
      </c>
      <c r="C444" s="23" t="s">
        <v>677</v>
      </c>
      <c r="D444" s="23" t="s">
        <v>901</v>
      </c>
      <c r="E444" s="26">
        <v>5790</v>
      </c>
      <c r="F444" s="26">
        <f>Tabla1[[#This Row],[COSTO]]*(1+45%)</f>
        <v>8395.5</v>
      </c>
      <c r="G444" s="23">
        <v>2</v>
      </c>
    </row>
    <row r="445" spans="1:8" x14ac:dyDescent="0.25">
      <c r="A445" s="23">
        <v>443</v>
      </c>
      <c r="B445" s="23" t="s">
        <v>679</v>
      </c>
      <c r="C445" s="23" t="s">
        <v>678</v>
      </c>
      <c r="D445" s="23" t="s">
        <v>901</v>
      </c>
      <c r="E445" s="26">
        <v>4350</v>
      </c>
      <c r="F445" s="26">
        <f>Tabla1[[#This Row],[COSTO]]*(1+45%)</f>
        <v>6307.5</v>
      </c>
      <c r="G445" s="23">
        <v>2</v>
      </c>
    </row>
    <row r="446" spans="1:8" x14ac:dyDescent="0.25">
      <c r="A446" s="23">
        <v>444</v>
      </c>
      <c r="B446" s="23" t="s">
        <v>679</v>
      </c>
      <c r="C446" s="23" t="s">
        <v>680</v>
      </c>
      <c r="D446" s="23" t="s">
        <v>901</v>
      </c>
      <c r="E446" s="26">
        <v>4350</v>
      </c>
      <c r="F446" s="26">
        <f>Tabla1[[#This Row],[COSTO]]*(1+45%)</f>
        <v>6307.5</v>
      </c>
      <c r="G446" s="23">
        <v>2</v>
      </c>
    </row>
    <row r="447" spans="1:8" x14ac:dyDescent="0.25">
      <c r="A447" s="23">
        <v>445</v>
      </c>
      <c r="B447" s="23" t="s">
        <v>679</v>
      </c>
      <c r="C447" s="23" t="s">
        <v>681</v>
      </c>
      <c r="D447" s="23" t="s">
        <v>901</v>
      </c>
      <c r="E447" s="26">
        <v>4350</v>
      </c>
      <c r="F447" s="26">
        <f>Tabla1[[#This Row],[COSTO]]*(1+45%)</f>
        <v>6307.5</v>
      </c>
      <c r="G447" s="23">
        <v>2</v>
      </c>
      <c r="H447" s="13"/>
    </row>
    <row r="448" spans="1:8" x14ac:dyDescent="0.25">
      <c r="A448" s="23">
        <v>446</v>
      </c>
      <c r="B448" s="23" t="s">
        <v>679</v>
      </c>
      <c r="C448" s="23" t="s">
        <v>682</v>
      </c>
      <c r="D448" s="23" t="s">
        <v>901</v>
      </c>
      <c r="E448" s="26">
        <v>4350</v>
      </c>
      <c r="F448" s="26">
        <f>Tabla1[[#This Row],[COSTO]]*(1+45%)</f>
        <v>6307.5</v>
      </c>
      <c r="G448" s="23">
        <v>2</v>
      </c>
    </row>
    <row r="449" spans="1:8" x14ac:dyDescent="0.25">
      <c r="A449" s="23">
        <v>447</v>
      </c>
      <c r="B449" s="23" t="s">
        <v>679</v>
      </c>
      <c r="C449" s="23" t="s">
        <v>683</v>
      </c>
      <c r="D449" s="23" t="s">
        <v>901</v>
      </c>
      <c r="E449" s="26">
        <v>4350</v>
      </c>
      <c r="F449" s="26">
        <f>Tabla1[[#This Row],[COSTO]]*(1+45%)</f>
        <v>6307.5</v>
      </c>
      <c r="G449" s="23">
        <v>0</v>
      </c>
    </row>
    <row r="450" spans="1:8" x14ac:dyDescent="0.25">
      <c r="A450" s="23">
        <v>448</v>
      </c>
      <c r="B450" s="23" t="s">
        <v>679</v>
      </c>
      <c r="C450" s="23" t="s">
        <v>684</v>
      </c>
      <c r="D450" s="23" t="s">
        <v>901</v>
      </c>
      <c r="E450" s="26">
        <v>4350</v>
      </c>
      <c r="F450" s="26">
        <f>Tabla1[[#This Row],[COSTO]]*(1+45%)</f>
        <v>6307.5</v>
      </c>
      <c r="G450" s="23">
        <v>0</v>
      </c>
    </row>
    <row r="451" spans="1:8" x14ac:dyDescent="0.25">
      <c r="A451" s="23">
        <v>449</v>
      </c>
      <c r="B451" s="23" t="s">
        <v>686</v>
      </c>
      <c r="C451" s="23" t="s">
        <v>685</v>
      </c>
      <c r="D451" s="23" t="s">
        <v>902</v>
      </c>
      <c r="E451" s="26">
        <v>350</v>
      </c>
      <c r="F451" s="26">
        <f>Tabla1[[#This Row],[COSTO]]*(1+45%)</f>
        <v>507.5</v>
      </c>
      <c r="G451" s="23">
        <v>24</v>
      </c>
    </row>
    <row r="452" spans="1:8" x14ac:dyDescent="0.25">
      <c r="A452" s="23">
        <v>450</v>
      </c>
      <c r="B452" s="23" t="s">
        <v>688</v>
      </c>
      <c r="C452" s="23" t="s">
        <v>687</v>
      </c>
      <c r="D452" s="23" t="s">
        <v>902</v>
      </c>
      <c r="E452" s="26">
        <v>350</v>
      </c>
      <c r="F452" s="26">
        <f>Tabla1[[#This Row],[COSTO]]*(1+45%)</f>
        <v>507.5</v>
      </c>
      <c r="G452" s="23">
        <v>25</v>
      </c>
    </row>
    <row r="453" spans="1:8" x14ac:dyDescent="0.25">
      <c r="A453" s="23">
        <v>451</v>
      </c>
      <c r="B453" s="23" t="s">
        <v>690</v>
      </c>
      <c r="C453" s="23" t="s">
        <v>689</v>
      </c>
      <c r="D453" s="23" t="s">
        <v>902</v>
      </c>
      <c r="E453" s="26">
        <v>690</v>
      </c>
      <c r="F453" s="26">
        <f>Tabla1[[#This Row],[COSTO]]*(1+45%)</f>
        <v>1000.5</v>
      </c>
      <c r="G453" s="23">
        <v>10</v>
      </c>
      <c r="H453" s="14"/>
    </row>
    <row r="454" spans="1:8" x14ac:dyDescent="0.25">
      <c r="A454" s="23">
        <v>452</v>
      </c>
      <c r="B454" s="23" t="s">
        <v>690</v>
      </c>
      <c r="C454" s="23" t="s">
        <v>691</v>
      </c>
      <c r="D454" s="23" t="s">
        <v>902</v>
      </c>
      <c r="E454" s="26">
        <v>690</v>
      </c>
      <c r="F454" s="26">
        <f>Tabla1[[#This Row],[COSTO]]*(1+45%)</f>
        <v>1000.5</v>
      </c>
      <c r="G454" s="23">
        <v>10</v>
      </c>
      <c r="H454" s="15"/>
    </row>
    <row r="455" spans="1:8" x14ac:dyDescent="0.25">
      <c r="A455" s="23">
        <v>453</v>
      </c>
      <c r="B455" s="23" t="s">
        <v>693</v>
      </c>
      <c r="C455" s="23" t="s">
        <v>692</v>
      </c>
      <c r="D455" s="23" t="s">
        <v>902</v>
      </c>
      <c r="E455" s="26">
        <v>340</v>
      </c>
      <c r="F455" s="26">
        <f>Tabla1[[#This Row],[COSTO]]*(1+45%)</f>
        <v>493</v>
      </c>
      <c r="G455" s="23">
        <v>25</v>
      </c>
      <c r="H455" s="14"/>
    </row>
    <row r="456" spans="1:8" x14ac:dyDescent="0.25">
      <c r="A456" s="23">
        <v>454</v>
      </c>
      <c r="B456" s="23" t="s">
        <v>695</v>
      </c>
      <c r="C456" s="23" t="s">
        <v>694</v>
      </c>
      <c r="D456" s="23" t="s">
        <v>895</v>
      </c>
      <c r="E456" s="26">
        <v>190</v>
      </c>
      <c r="F456" s="26">
        <f>Tabla1[[#This Row],[COSTO]]*(1+45%)</f>
        <v>275.5</v>
      </c>
      <c r="G456" s="23">
        <v>100</v>
      </c>
    </row>
    <row r="457" spans="1:8" x14ac:dyDescent="0.25">
      <c r="A457" s="23">
        <v>455</v>
      </c>
      <c r="B457" s="23" t="s">
        <v>697</v>
      </c>
      <c r="C457" s="23" t="s">
        <v>696</v>
      </c>
      <c r="D457" s="23" t="s">
        <v>895</v>
      </c>
      <c r="E457" s="26">
        <v>170</v>
      </c>
      <c r="F457" s="26">
        <f>Tabla1[[#This Row],[COSTO]]*(1+45%)</f>
        <v>246.5</v>
      </c>
      <c r="G457" s="23">
        <v>100</v>
      </c>
    </row>
    <row r="458" spans="1:8" x14ac:dyDescent="0.25">
      <c r="A458" s="23">
        <v>456</v>
      </c>
      <c r="B458" s="23" t="s">
        <v>699</v>
      </c>
      <c r="C458" s="23" t="s">
        <v>698</v>
      </c>
      <c r="D458" s="23" t="s">
        <v>904</v>
      </c>
      <c r="E458" s="26">
        <v>20</v>
      </c>
      <c r="F458" s="26">
        <f>Tabla1[[#This Row],[COSTO]]*(1+45%)</f>
        <v>29</v>
      </c>
      <c r="G458" s="23">
        <v>500</v>
      </c>
    </row>
    <row r="459" spans="1:8" x14ac:dyDescent="0.25">
      <c r="A459" s="23">
        <v>457</v>
      </c>
      <c r="B459" s="23" t="s">
        <v>701</v>
      </c>
      <c r="C459" s="23" t="s">
        <v>700</v>
      </c>
      <c r="D459" s="23" t="s">
        <v>905</v>
      </c>
      <c r="E459" s="26">
        <v>20</v>
      </c>
      <c r="F459" s="26">
        <f>Tabla1[[#This Row],[COSTO]]*(1+45%)</f>
        <v>29</v>
      </c>
      <c r="G459" s="23">
        <v>500</v>
      </c>
    </row>
    <row r="460" spans="1:8" x14ac:dyDescent="0.25">
      <c r="A460" s="23">
        <v>458</v>
      </c>
      <c r="B460" s="23" t="s">
        <v>703</v>
      </c>
      <c r="C460" s="23" t="s">
        <v>702</v>
      </c>
      <c r="D460" s="23" t="s">
        <v>903</v>
      </c>
      <c r="E460" s="26">
        <v>19500</v>
      </c>
      <c r="F460" s="26">
        <f>Tabla1[[#This Row],[COSTO]]*(1+45%)</f>
        <v>28275</v>
      </c>
      <c r="G460" s="23">
        <v>1</v>
      </c>
    </row>
    <row r="461" spans="1:8" x14ac:dyDescent="0.25">
      <c r="A461" s="23">
        <v>459</v>
      </c>
      <c r="B461" s="23" t="s">
        <v>703</v>
      </c>
      <c r="C461" s="23" t="s">
        <v>704</v>
      </c>
      <c r="D461" s="23" t="s">
        <v>903</v>
      </c>
      <c r="E461" s="26">
        <v>19500</v>
      </c>
      <c r="F461" s="26">
        <f>Tabla1[[#This Row],[COSTO]]*(1+45%)</f>
        <v>28275</v>
      </c>
      <c r="G461" s="23">
        <v>1</v>
      </c>
    </row>
    <row r="462" spans="1:8" x14ac:dyDescent="0.25">
      <c r="A462" s="23">
        <v>460</v>
      </c>
      <c r="B462" s="23" t="s">
        <v>703</v>
      </c>
      <c r="C462" s="23" t="s">
        <v>705</v>
      </c>
      <c r="D462" s="23" t="s">
        <v>903</v>
      </c>
      <c r="E462" s="26">
        <v>19500</v>
      </c>
      <c r="F462" s="26">
        <f>Tabla1[[#This Row],[COSTO]]*(1+45%)</f>
        <v>28275</v>
      </c>
      <c r="G462" s="23">
        <v>1</v>
      </c>
    </row>
    <row r="463" spans="1:8" x14ac:dyDescent="0.25">
      <c r="A463" s="23">
        <v>461</v>
      </c>
      <c r="B463" s="23" t="s">
        <v>707</v>
      </c>
      <c r="C463" s="23" t="s">
        <v>706</v>
      </c>
      <c r="D463" s="23" t="s">
        <v>903</v>
      </c>
      <c r="E463" s="26">
        <v>15900</v>
      </c>
      <c r="F463" s="26">
        <f>Tabla1[[#This Row],[COSTO]]*(1+45%)</f>
        <v>23055</v>
      </c>
      <c r="G463" s="23">
        <v>3</v>
      </c>
    </row>
    <row r="464" spans="1:8" x14ac:dyDescent="0.25">
      <c r="A464" s="23">
        <v>462</v>
      </c>
      <c r="B464" s="23" t="s">
        <v>753</v>
      </c>
      <c r="C464" s="23" t="s">
        <v>752</v>
      </c>
      <c r="D464" s="23" t="s">
        <v>903</v>
      </c>
      <c r="E464" s="26">
        <v>158500</v>
      </c>
      <c r="F464" s="26">
        <f>Tabla1[[#This Row],[COSTO]]*(1+45%)</f>
        <v>229825</v>
      </c>
      <c r="G464" s="23">
        <v>0</v>
      </c>
    </row>
    <row r="465" spans="1:7" x14ac:dyDescent="0.25">
      <c r="A465" s="23">
        <v>463</v>
      </c>
      <c r="B465" s="23" t="s">
        <v>709</v>
      </c>
      <c r="C465" s="23" t="s">
        <v>708</v>
      </c>
      <c r="D465" s="23" t="s">
        <v>896</v>
      </c>
      <c r="E465" s="26">
        <v>430</v>
      </c>
      <c r="F465" s="26">
        <f>Tabla1[[#This Row],[COSTO]]*(1+45%)</f>
        <v>623.5</v>
      </c>
      <c r="G465" s="23">
        <v>100</v>
      </c>
    </row>
    <row r="466" spans="1:7" x14ac:dyDescent="0.25">
      <c r="A466" s="23">
        <v>464</v>
      </c>
      <c r="B466" s="23" t="s">
        <v>711</v>
      </c>
      <c r="C466" s="23" t="s">
        <v>710</v>
      </c>
      <c r="D466" s="23" t="s">
        <v>896</v>
      </c>
      <c r="E466" s="26">
        <v>170</v>
      </c>
      <c r="F466" s="26">
        <f>Tabla1[[#This Row],[COSTO]]*(1+45%)</f>
        <v>246.5</v>
      </c>
      <c r="G466" s="23">
        <v>100</v>
      </c>
    </row>
    <row r="467" spans="1:7" x14ac:dyDescent="0.25">
      <c r="A467" s="23">
        <v>465</v>
      </c>
      <c r="B467" s="23" t="s">
        <v>713</v>
      </c>
      <c r="C467" s="23" t="s">
        <v>712</v>
      </c>
      <c r="D467" s="23" t="s">
        <v>896</v>
      </c>
      <c r="E467" s="26">
        <v>1150</v>
      </c>
      <c r="F467" s="26">
        <f>Tabla1[[#This Row],[COSTO]]*(1+45%)</f>
        <v>1667.5</v>
      </c>
      <c r="G467" s="23">
        <v>1</v>
      </c>
    </row>
    <row r="468" spans="1:7" x14ac:dyDescent="0.25">
      <c r="A468" s="23">
        <v>466</v>
      </c>
      <c r="B468" s="23" t="s">
        <v>715</v>
      </c>
      <c r="C468" s="23" t="s">
        <v>714</v>
      </c>
      <c r="D468" s="23" t="s">
        <v>896</v>
      </c>
      <c r="E468" s="26">
        <v>1100</v>
      </c>
      <c r="F468" s="26">
        <f>Tabla1[[#This Row],[COSTO]]*(1+45%)</f>
        <v>1595</v>
      </c>
      <c r="G468" s="23">
        <v>30</v>
      </c>
    </row>
    <row r="469" spans="1:7" x14ac:dyDescent="0.25">
      <c r="A469" s="23">
        <v>467</v>
      </c>
      <c r="B469" s="23" t="s">
        <v>717</v>
      </c>
      <c r="C469" s="23" t="s">
        <v>716</v>
      </c>
      <c r="D469" s="23" t="s">
        <v>896</v>
      </c>
      <c r="E469" s="26">
        <v>290</v>
      </c>
      <c r="F469" s="26">
        <f>Tabla1[[#This Row],[COSTO]]*(1+45%)</f>
        <v>420.5</v>
      </c>
      <c r="G469" s="23">
        <v>50</v>
      </c>
    </row>
    <row r="470" spans="1:7" x14ac:dyDescent="0.25">
      <c r="A470" s="23">
        <v>468</v>
      </c>
      <c r="B470" s="23" t="s">
        <v>719</v>
      </c>
      <c r="C470" s="23" t="s">
        <v>718</v>
      </c>
      <c r="D470" s="23" t="s">
        <v>896</v>
      </c>
      <c r="E470" s="26">
        <v>250</v>
      </c>
      <c r="F470" s="26">
        <f>Tabla1[[#This Row],[COSTO]]*(1+45%)</f>
        <v>362.5</v>
      </c>
      <c r="G470" s="23">
        <v>25</v>
      </c>
    </row>
    <row r="471" spans="1:7" x14ac:dyDescent="0.25">
      <c r="A471" s="23">
        <v>469</v>
      </c>
      <c r="B471" s="23" t="s">
        <v>721</v>
      </c>
      <c r="C471" s="23" t="s">
        <v>720</v>
      </c>
      <c r="D471" s="23" t="s">
        <v>894</v>
      </c>
      <c r="E471" s="26">
        <v>80</v>
      </c>
      <c r="F471" s="26">
        <f>Tabla1[[#This Row],[COSTO]]*(1+45%)</f>
        <v>116</v>
      </c>
      <c r="G471" s="23">
        <v>200</v>
      </c>
    </row>
    <row r="472" spans="1:7" x14ac:dyDescent="0.25">
      <c r="A472" s="23">
        <v>470</v>
      </c>
      <c r="B472" s="23" t="s">
        <v>723</v>
      </c>
      <c r="C472" s="23" t="s">
        <v>722</v>
      </c>
      <c r="D472" s="23" t="s">
        <v>894</v>
      </c>
      <c r="E472" s="26">
        <v>120</v>
      </c>
      <c r="F472" s="26">
        <f>Tabla1[[#This Row],[COSTO]]*(1+45%)</f>
        <v>174</v>
      </c>
      <c r="G472" s="23">
        <v>100</v>
      </c>
    </row>
    <row r="473" spans="1:7" x14ac:dyDescent="0.25">
      <c r="A473" s="23">
        <v>471</v>
      </c>
      <c r="B473" s="23" t="s">
        <v>725</v>
      </c>
      <c r="C473" s="23" t="s">
        <v>724</v>
      </c>
      <c r="D473" s="23" t="s">
        <v>884</v>
      </c>
      <c r="E473" s="26">
        <v>16700</v>
      </c>
      <c r="F473" s="26">
        <f>Tabla1[[#This Row],[COSTO]]*(1+45%)</f>
        <v>24215</v>
      </c>
      <c r="G473" s="23">
        <v>4</v>
      </c>
    </row>
    <row r="474" spans="1:7" x14ac:dyDescent="0.25">
      <c r="A474" s="23">
        <v>472</v>
      </c>
      <c r="B474" s="23" t="s">
        <v>727</v>
      </c>
      <c r="C474" s="23" t="s">
        <v>726</v>
      </c>
      <c r="D474" s="23" t="s">
        <v>884</v>
      </c>
      <c r="E474" s="26">
        <v>4350</v>
      </c>
      <c r="F474" s="26">
        <f>Tabla1[[#This Row],[COSTO]]*(1+45%)</f>
        <v>6307.5</v>
      </c>
      <c r="G474" s="23">
        <v>4</v>
      </c>
    </row>
    <row r="475" spans="1:7" x14ac:dyDescent="0.25">
      <c r="A475" s="23">
        <v>473</v>
      </c>
      <c r="B475" s="23" t="s">
        <v>729</v>
      </c>
      <c r="C475" s="23" t="s">
        <v>728</v>
      </c>
      <c r="D475" s="23" t="s">
        <v>884</v>
      </c>
      <c r="E475" s="26">
        <v>440</v>
      </c>
      <c r="F475" s="26">
        <f>Tabla1[[#This Row],[COSTO]]*(1+45%)</f>
        <v>638</v>
      </c>
      <c r="G475" s="23">
        <v>42</v>
      </c>
    </row>
    <row r="476" spans="1:7" x14ac:dyDescent="0.25">
      <c r="A476" s="23">
        <v>474</v>
      </c>
      <c r="B476" s="23" t="s">
        <v>731</v>
      </c>
      <c r="C476" s="23" t="s">
        <v>730</v>
      </c>
      <c r="D476" s="23" t="s">
        <v>884</v>
      </c>
      <c r="E476" s="26">
        <v>3890</v>
      </c>
      <c r="F476" s="26">
        <f>Tabla1[[#This Row],[COSTO]]*(1+45%)</f>
        <v>5640.5</v>
      </c>
      <c r="G476" s="23">
        <v>10</v>
      </c>
    </row>
    <row r="477" spans="1:7" x14ac:dyDescent="0.25">
      <c r="A477" s="23">
        <v>475</v>
      </c>
      <c r="B477" s="23" t="s">
        <v>733</v>
      </c>
      <c r="C477" s="23" t="s">
        <v>732</v>
      </c>
      <c r="D477" s="23" t="s">
        <v>884</v>
      </c>
      <c r="E477" s="26">
        <v>450</v>
      </c>
      <c r="F477" s="26">
        <f>Tabla1[[#This Row],[COSTO]]*(1+45%)</f>
        <v>652.5</v>
      </c>
      <c r="G477" s="23">
        <v>100</v>
      </c>
    </row>
    <row r="478" spans="1:7" x14ac:dyDescent="0.25">
      <c r="A478" s="23">
        <v>476</v>
      </c>
      <c r="B478" s="23" t="s">
        <v>735</v>
      </c>
      <c r="C478" s="23" t="s">
        <v>734</v>
      </c>
      <c r="D478" s="23" t="s">
        <v>884</v>
      </c>
      <c r="E478" s="26">
        <v>5350</v>
      </c>
      <c r="F478" s="26">
        <f>Tabla1[[#This Row],[COSTO]]*(1+45%)</f>
        <v>7757.5</v>
      </c>
      <c r="G478" s="23">
        <v>4</v>
      </c>
    </row>
    <row r="479" spans="1:7" x14ac:dyDescent="0.25">
      <c r="A479" s="23">
        <v>477</v>
      </c>
      <c r="B479" s="23" t="s">
        <v>737</v>
      </c>
      <c r="C479" s="23" t="s">
        <v>736</v>
      </c>
      <c r="D479" s="23" t="s">
        <v>884</v>
      </c>
      <c r="E479" s="26">
        <v>4750</v>
      </c>
      <c r="F479" s="26">
        <f>Tabla1[[#This Row],[COSTO]]*(1+45%)</f>
        <v>6887.5</v>
      </c>
      <c r="G479" s="23">
        <v>0</v>
      </c>
    </row>
    <row r="480" spans="1:7" x14ac:dyDescent="0.25">
      <c r="A480" s="23">
        <v>478</v>
      </c>
      <c r="B480" s="23" t="s">
        <v>756</v>
      </c>
      <c r="C480" s="23" t="s">
        <v>743</v>
      </c>
      <c r="D480" s="23" t="s">
        <v>884</v>
      </c>
      <c r="E480" s="26">
        <v>4750</v>
      </c>
      <c r="F480" s="26">
        <f>Tabla1[[#This Row],[COSTO]]*(1+45%)</f>
        <v>6887.5</v>
      </c>
      <c r="G480" s="23">
        <v>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REPUESTOS 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nuc i3</dc:creator>
  <cp:keywords/>
  <dc:description/>
  <cp:lastModifiedBy>Javier Mateus</cp:lastModifiedBy>
  <cp:revision/>
  <dcterms:created xsi:type="dcterms:W3CDTF">2021-06-24T13:20:21Z</dcterms:created>
  <dcterms:modified xsi:type="dcterms:W3CDTF">2026-03-21T21:35:45Z</dcterms:modified>
  <cp:category/>
  <cp:contentStatus/>
</cp:coreProperties>
</file>